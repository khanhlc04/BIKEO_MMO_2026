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aDinh" sheetId="1" state="visible" r:id="rId3"/>
    <sheet name="DonVi" sheetId="2" state="visible" r:id="rId4"/>
    <sheet name="KichBan" sheetId="3" state="visible" r:id="rId5"/>
    <sheet name="DongTien" sheetId="4" state="visible" r:id="rId6"/>
    <sheet name="VonBanDau" sheetId="5" state="visible" r:id="rId7"/>
    <sheet name="KP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<sst xmlns="http://schemas.openxmlformats.org/spreadsheetml/2006/main" count="225" uniqueCount="178">
  <si>
    <t xml:space="preserve">GIẢ ĐỊNH — SAMESIES, 60 ngày (3/11/2026 → 2/1/2027; tiền khởi động 19/10–2/11 chi 0 ₫)</t>
  </si>
  <si>
    <t xml:space="preserve">XANH = ô nhập liệu (sửa được) · ĐEN = công thức · XANH LÁ = lấy từ sheet khác · nền VÀNG = giả định then chốt. Cột J ghi nguồn.</t>
  </si>
  <si>
    <t xml:space="preserve">Vốn ban đầu (₫)</t>
  </si>
  <si>
    <t xml:space="preserve">Đề bài của chủ dự án</t>
  </si>
  <si>
    <t xml:space="preserve">Mục tiêu lợi nhuận ròng (₫)</t>
  </si>
  <si>
    <t xml:space="preserve">KPI bắt buộc</t>
  </si>
  <si>
    <t xml:space="preserve">Ngày bắt đầu (ngày lương về)</t>
  </si>
  <si>
    <t xml:space="preserve">Ngày 1 = 3/11/2026; 19/10–2/11 là giai đoạn tiền khởi động chi 0 ₫</t>
  </si>
  <si>
    <t xml:space="preserve">Ngày chốt sổ</t>
  </si>
  <si>
    <t xml:space="preserve">Sau 60 ngày</t>
  </si>
  <si>
    <t xml:space="preserve">Số ngày kinh doanh</t>
  </si>
  <si>
    <t xml:space="preserve">Bằng ngày chốt trừ ngày bắt đầu</t>
  </si>
  <si>
    <t xml:space="preserve">KÊNH BÁN</t>
  </si>
  <si>
    <t xml:space="preserve">Kênh</t>
  </si>
  <si>
    <t xml:space="preserve">Hoa hồng sàn</t>
  </si>
  <si>
    <t xml:space="preserve">Phí giao dịch</t>
  </si>
  <si>
    <t xml:space="preserve">Thuế sàn khấu trừ</t>
  </si>
  <si>
    <t xml:space="preserve">Tỷ trọng đơn</t>
  </si>
  <si>
    <t xml:space="preserve">Phí cố định/đơn (₫)</t>
  </si>
  <si>
    <t xml:space="preserve">Tổng % phí</t>
  </si>
  <si>
    <t xml:space="preserve">Nguồn</t>
  </si>
  <si>
    <t xml:space="preserve">TikTok Shop</t>
  </si>
  <si>
    <t xml:space="preserve">PDF biểu phí TikTok Seller University hiệu lực 03/07/2026: hoodie/áo thun/bộ đồ cặp đôi 15%; phí giao dịch 6% từ 09/05/2026 (shop mới có thể được 0% trong 60 ngày, chưa xác nhận đợt Q4); xử lý đơn 3.000đ; thuế 1,5% theo NĐ 117/2025</t>
  </si>
  <si>
    <t xml:space="preserve">Shopee</t>
  </si>
  <si>
    <t xml:space="preserve">Phí cố định thời trang 14,5–16,5% từ 23/05/2026; phí giao dịch 6% từ 01/05/2026; hạ tầng 3.000đ + PiShip 2.700đ; shop mới miễn phí cố định 30 ngày</t>
  </si>
  <si>
    <t xml:space="preserve">Trực tiếp: Zalo / Instagram / Facebook (COD qua SPX, GHN)</t>
  </si>
  <si>
    <t xml:space="preserve">Không phí sàn; COD miễn phí (SPX ≤20tr, GHN); doanh thu ≤1 tỷ/năm miễn GTGT &amp; TNCN theo NĐ 141/2026, tự kê khai mẫu 01/CNKD</t>
  </si>
  <si>
    <t xml:space="preserve">Bình quân gia quyền theo tỷ trọng đơn</t>
  </si>
  <si>
    <t xml:space="preserve">CHI PHÍ TRÊN MỖI ĐƠN</t>
  </si>
  <si>
    <t xml:space="preserve">Ship shop chịu bình quân/đơn (₫)</t>
  </si>
  <si>
    <t xml:space="preserve">Freeship mọi kênh (chính sách). TikTok: Xtra Shipping Voucher 5,5% trần 30k ≈ 20k/đơn ×45%; Shopee: sàn tự tài trợ freeship từ 01/04/2025 ≈ 0 ×10%; trực tiếp: SPX 14–15k (Sapo 10/2026) ×45% → bình quân ≈ 16k</t>
  </si>
  <si>
    <t xml:space="preserve">Bao bì/đơn (₫)</t>
  </si>
  <si>
    <t xml:space="preserve">Túi kraft in logo 2.300 (HOSO) + sticker 1.300 (Azoka) + thiệp 1.000 (In Thủ Đô) + túi niêm phong 400</t>
  </si>
  <si>
    <t xml:space="preserve">Tỷ lệ hoàn/bom hàng</t>
  </si>
  <si>
    <t xml:space="preserve">Quần áo 5–10% (Sapo); COD 15% dịp sale (Tuổi Trẻ); có xác nhận đơn qua chat → 10%</t>
  </si>
  <si>
    <t xml:space="preserve">Lỗ mỗi đơn hoàn (₫)</t>
  </si>
  <si>
    <t xml:space="preserve">Ship chiều đi 15–19k + bao bì 5k + hoa hồng/phí giao dịch TikTok vẫn thu trên đơn hoàn từ 01/04/2026</t>
  </si>
  <si>
    <t xml:space="preserve">Quảng cáo + affiliate/đơn (CAC, ₫)</t>
  </si>
  <si>
    <t xml:space="preserve">TikTok Ads CPM 25–50k, CPC 3–5k; affiliate 10–15% trên đơn creator; bình quân mọi đơn ≈ 8% doanh thu, dưới trần 10% của Nguyễn Phúc Long</t>
  </si>
  <si>
    <t xml:space="preserve">Độ trễ tiền sàn trả về (kỳ)</t>
  </si>
  <si>
    <t xml:space="preserve">TikTok Standard 8 ngày với shop mới; COD SPX/GHN đối soát 2–4 ngày</t>
  </si>
  <si>
    <t xml:space="preserve">Tỷ lệ doanh thu nhận ngay trong kỳ (cọc)</t>
  </si>
  <si>
    <t xml:space="preserve">Cọc 50% với đơn cá nhân hoá kênh trực tiếp (≈45% đơn) → ≈25% doanh thu về ngay</t>
  </si>
  <si>
    <t xml:space="preserve">SẢN PHẨM (giá theo BỘ/ĐƠN)</t>
  </si>
  <si>
    <t xml:space="preserve">Sản phẩm</t>
  </si>
  <si>
    <t xml:space="preserve">Giá niêm yết/bộ</t>
  </si>
  <si>
    <t xml:space="preserve">Giảm giá TB</t>
  </si>
  <si>
    <t xml:space="preserve">Giá bán thực</t>
  </si>
  <si>
    <t xml:space="preserve">Giá vốn hàng/bộ</t>
  </si>
  <si>
    <t xml:space="preserve">In/thêu/khắc/bộ</t>
  </si>
  <si>
    <t xml:space="preserve">Nhãn+hộp/bộ</t>
  </si>
  <si>
    <t xml:space="preserve">Tổng giá vốn</t>
  </si>
  <si>
    <t xml:space="preserve">Nguồn giá vốn</t>
  </si>
  <si>
    <t xml:space="preserve">Áo nỉ Samesies — set 2 áo nỉ bông, in/thêu chữ cái + ngày kỷ niệm</t>
  </si>
  <si>
    <t xml:space="preserve">Nỉ bông trơn 65–87k/áo: Phương Yến HCM 75–87k (MOQ 1–3), Gấu Xám HN 65–69k (MOQ 3), THIDU 68–75k → 78k ×2; in decal nhỏ 15–23k (ThunViet) hoặc thêu ≈25k/áo (CẦN BÁO GIÁ) ×2; tag + túi 6k</t>
  </si>
  <si>
    <t xml:space="preserve">Áo thun Samesies — set 2 áo cotton 100%, in/thêu chữ cái + ngày</t>
  </si>
  <si>
    <t xml:space="preserve">Cotton 100%: AKUBA HCM 35–45k, Hà Đinh HN 55–65k → 50k ×2; in/thêu 25k ×2; tag + túi 6k</t>
  </si>
  <si>
    <t xml:space="preserve">Vòng Samesies — cặp vòng titan/inox khắc tên + hộp + thiệp</t>
  </si>
  <si>
    <t xml:space="preserve">Vòng tay cặp 15–17k (thitruongsi 10/2026); khắc laser ≈10k/chiếc (CẦN BÁO GIÁ); hộp lắp ráp 3,5k + thiệp 1k + túi 2,3k + sticker 1,3k</t>
  </si>
  <si>
    <t xml:space="preserve">Hộp Quà Kỷ Niệm Samesies — áo nỉ + vòng + thiệp viết tay + hộp quà</t>
  </si>
  <si>
    <t xml:space="preserve">Bằng áo nỉ (156k + 50k) + vòng (17k + 20k) + hộp quà Noel 16k + thiệp + túi 6k (Khánh Băng, thitruongsi)</t>
  </si>
  <si>
    <t xml:space="preserve">Đơn hàng bình quân (gia quyền theo tỷ trọng)</t>
  </si>
  <si>
    <t xml:space="preserve">KINH TẾ ĐƠN VỊ — lợi nhuận ròng trên 1 đơn, theo sản phẩm và đơn bình quân</t>
  </si>
  <si>
    <t xml:space="preserve">Mọi ô là công thức lấy từ GiaDinh; phí sàn dùng mức bình quân gia quyền theo tỷ trọng kênh.</t>
  </si>
  <si>
    <t xml:space="preserve">Khoản</t>
  </si>
  <si>
    <t xml:space="preserve">Áo nỉ Samesies</t>
  </si>
  <si>
    <t xml:space="preserve">Áo thun Samesies</t>
  </si>
  <si>
    <t xml:space="preserve">Vòng Samesies</t>
  </si>
  <si>
    <t xml:space="preserve">Hộp Quà Kỷ Niệm Samesies</t>
  </si>
  <si>
    <t xml:space="preserve">Đơn bình quân</t>
  </si>
  <si>
    <t xml:space="preserve">Giá bán thực (khách trả)</t>
  </si>
  <si>
    <t xml:space="preserve">− Hoa hồng sàn + phí giao dịch</t>
  </si>
  <si>
    <t xml:space="preserve">− Thuế sàn khấu trừ</t>
  </si>
  <si>
    <t xml:space="preserve">− Giá vốn (hàng + in/thêu/khắc + nhãn/hộp)</t>
  </si>
  <si>
    <t xml:space="preserve">− Phí cố định sàn/đơn</t>
  </si>
  <si>
    <t xml:space="preserve">− Ship shop chịu</t>
  </si>
  <si>
    <t xml:space="preserve">− Bao bì</t>
  </si>
  <si>
    <t xml:space="preserve">− Dự phòng hoàn hàng</t>
  </si>
  <si>
    <t xml:space="preserve">− Quảng cáo + affiliate (CAC)</t>
  </si>
  <si>
    <t xml:space="preserve">LỢI NHUẬN RÒNG / ĐƠN (tổng các dòng trên)</t>
  </si>
  <si>
    <t xml:space="preserve">Biên lợi nhuận ròng</t>
  </si>
  <si>
    <t xml:space="preserve">Lãi gộp / đơn (giá bán − giá vốn)</t>
  </si>
  <si>
    <t xml:space="preserve">Số đơn cần để đạt mục tiêu (chưa gồm chi phí cố định)</t>
  </si>
  <si>
    <t xml:space="preserve">Đơn/ngày cần trong 60 ngày</t>
  </si>
  <si>
    <t xml:space="preserve">Đọc: cột cuối là đơn bình quân. Muốn tăng lợi nhuận/đơn: tăng tỷ trọng kênh trực tiếp (GiaDinh!E), giảm CAC, tăng tỷ trọng Hộp Quà.</t>
  </si>
  <si>
    <t xml:space="preserve">KỊCH BẢN 60 NGÀY — lever chính là số đơn/ngày theo kỳ (ô xanh)</t>
  </si>
  <si>
    <t xml:space="preserve">Doanh thu và chi phí mỗi kỳ = số đơn × kinh tế đơn vị bình quân. Chi phí cố định nhập theo kỳ.</t>
  </si>
  <si>
    <t xml:space="preserve">Kỳ</t>
  </si>
  <si>
    <t xml:space="preserve">T1 3–9/11</t>
  </si>
  <si>
    <t xml:space="preserve">T2 10–16/11</t>
  </si>
  <si>
    <t xml:space="preserve">T3 17–23/11</t>
  </si>
  <si>
    <t xml:space="preserve">T4 24–30/11</t>
  </si>
  <si>
    <t xml:space="preserve">T5 1–7/12</t>
  </si>
  <si>
    <t xml:space="preserve">T6 8–14/12</t>
  </si>
  <si>
    <t xml:space="preserve">T7 15–21/12</t>
  </si>
  <si>
    <t xml:space="preserve">T8 22–28/12</t>
  </si>
  <si>
    <t xml:space="preserve">T9 29/12–1/1</t>
  </si>
  <si>
    <t xml:space="preserve">Tổng</t>
  </si>
  <si>
    <t xml:space="preserve">Số ngày trong kỳ</t>
  </si>
  <si>
    <t xml:space="preserve">Chi phí cố định/kỳ (mẫu nội dung, mẫu KOC, đạo cụ, công cụ)</t>
  </si>
  <si>
    <t xml:space="preserve">KỊCH BẢN: THẬN TRỌNG</t>
  </si>
  <si>
    <t xml:space="preserve">Đơn/ngày</t>
  </si>
  <si>
    <t xml:space="preserve">Số đơn</t>
  </si>
  <si>
    <t xml:space="preserve">Doanh thu (khách trả)</t>
  </si>
  <si>
    <t xml:space="preserve">− Giá vốn hàng bán</t>
  </si>
  <si>
    <t xml:space="preserve">− Ship shop chịu + bao bì</t>
  </si>
  <si>
    <t xml:space="preserve">− Quảng cáo + affiliate</t>
  </si>
  <si>
    <t xml:space="preserve">− Chi phí cố định</t>
  </si>
  <si>
    <t xml:space="preserve">Lợi nhuận ròng kỳ (tổng các dòng trên)</t>
  </si>
  <si>
    <t xml:space="preserve">Lũy kế lợi nhuận ròng</t>
  </si>
  <si>
    <t xml:space="preserve">% mục tiêu đạt được</t>
  </si>
  <si>
    <t xml:space="preserve">KỊCH BẢN: CƠ SỞ</t>
  </si>
  <si>
    <t xml:space="preserve">KỊCH BẢN: TĂNG TỐC</t>
  </si>
  <si>
    <t xml:space="preserve">TỔNG KẾT 3 KỊCH BẢN</t>
  </si>
  <si>
    <t xml:space="preserve">Kịch bản</t>
  </si>
  <si>
    <t xml:space="preserve">Tổng đơn</t>
  </si>
  <si>
    <t xml:space="preserve">Doanh thu</t>
  </si>
  <si>
    <t xml:space="preserve">LN ròng 60 ngày</t>
  </si>
  <si>
    <t xml:space="preserve">% KPI</t>
  </si>
  <si>
    <t xml:space="preserve">Kết luận</t>
  </si>
  <si>
    <t xml:space="preserve">Thận trọng</t>
  </si>
  <si>
    <t xml:space="preserve">Cơ sở</t>
  </si>
  <si>
    <t xml:space="preserve">Tăng tốc</t>
  </si>
  <si>
    <t xml:space="preserve">DÒNG TIỀN &amp; TỒN KHO — kịch bản Cơ sở, bảo vệ vốn 10 triệu</t>
  </si>
  <si>
    <t xml:space="preserve">Tiền về = phần cọc nhận ngay + phần còn lại trễ 1 kỳ. Mua hàng theo đơn (ô xanh). Số dư không được âm ở bất kỳ kỳ nào.</t>
  </si>
  <si>
    <t xml:space="preserve">Số dư đầu kỳ</t>
  </si>
  <si>
    <t xml:space="preserve">+ Tiền về (doanh thu − phí sàn − thuế − ship): cọc ngay + phần trễ 1 kỳ</t>
  </si>
  <si>
    <t xml:space="preserve">− Mua hàng (phôi, in, phụ kiện, hộp)</t>
  </si>
  <si>
    <t xml:space="preserve">− Bao bì + lỗ hoàn hàng</t>
  </si>
  <si>
    <t xml:space="preserve">Dòng tiền ròng kỳ</t>
  </si>
  <si>
    <t xml:space="preserve">Số dư cuối kỳ</t>
  </si>
  <si>
    <t xml:space="preserve">TỒN KHO (đơn vị = bộ/đơn bình quân)</t>
  </si>
  <si>
    <t xml:space="preserve">Số bộ mua vào (= tiền mua hàng ÷ giá vốn bình quân)</t>
  </si>
  <si>
    <t xml:space="preserve">Số bộ bán ra (đơn)</t>
  </si>
  <si>
    <t xml:space="preserve">Tồn cuối kỳ (bộ)</t>
  </si>
  <si>
    <t xml:space="preserve">Giá trị tồn kho (₫)</t>
  </si>
  <si>
    <t xml:space="preserve">Số dư thấp nhất trong 60 ngày</t>
  </si>
  <si>
    <t xml:space="preserve">Tiền mặt cuối kỳ 9 + giá trị tồn kho</t>
  </si>
  <si>
    <t xml:space="preserve">Tiền chưa về (phần doanh thu kỳ cuối chưa đối soát)</t>
  </si>
  <si>
    <t xml:space="preserve">Đối soát: (B21 + B22 − vốn) phải bằng LN ròng Cơ sở</t>
  </si>
  <si>
    <t xml:space="preserve">Tồn kho cuối cùng (bộ) — nên ≈ 0 vì làm theo đơn</t>
  </si>
  <si>
    <t xml:space="preserve">Tổng tiền mua hàng  |  tổng giá vốn bán ra</t>
  </si>
  <si>
    <t xml:space="preserve">PHÂN BỔ VỐN BAN ĐẦU 10.000.000 ₫</t>
  </si>
  <si>
    <t xml:space="preserve">Số tiền (₫)</t>
  </si>
  <si>
    <t xml:space="preserve">Nguyên tắc giải ngân</t>
  </si>
  <si>
    <t xml:space="preserve">Mẫu + phôi dự trữ đợt 1 (6 áo nỉ, 6 áo thun, 20 cặp vòng, 10 nhẫn/móc khóa)</t>
  </si>
  <si>
    <t xml:space="preserve">Mua ngày 3–5/11 ngay khi lương về; phôi còn lại mua theo đơn</t>
  </si>
  <si>
    <t xml:space="preserve">Thử in/thêu/khắc mẫu, tem nhãn</t>
  </si>
  <si>
    <t xml:space="preserve">Báo giá xin trước 3/11; thử mẫu 3–6/11</t>
  </si>
  <si>
    <t xml:space="preserve">Bao bì thương hiệu 100 bộ (túi kraft, sticker, thiệp, hộp)</t>
  </si>
  <si>
    <t xml:space="preserve">HOSO/Azoka/In Thủ Đô, giao 1–3 ngày</t>
  </si>
  <si>
    <t xml:space="preserve">Mẫu tặng KOC + đạo cụ quay (5–8 cặp)</t>
  </si>
  <si>
    <t xml:space="preserve">Đổi video, không trả tiền mặt; chấm KOC qua tab trưng bày</t>
  </si>
  <si>
    <t xml:space="preserve">Quảng cáo thử nghiệm TikTok</t>
  </si>
  <si>
    <t xml:space="preserve">100k/ngày cho 1 video đã có view tự nhiên tốt; trần 10% doanh thu</t>
  </si>
  <si>
    <t xml:space="preserve">Vốn lưu động mua phôi theo đơn trước khi tiền về</t>
  </si>
  <si>
    <t xml:space="preserve">Chỉ dùng khi đã có đơn/cọc tương ứng</t>
  </si>
  <si>
    <t xml:space="preserve">Dự phòng (hoàn hàng, ship, sự cố)</t>
  </si>
  <si>
    <t xml:space="preserve">Không chạm trong 4 tuần đầu</t>
  </si>
  <si>
    <t xml:space="preserve">Tổng phân bổ</t>
  </si>
  <si>
    <t xml:space="preserve">Vốn ban đầu</t>
  </si>
  <si>
    <t xml:space="preserve">Chênh lệch (phải ≥ 0)</t>
  </si>
  <si>
    <t xml:space="preserve">Quy tắc: không chi quá 40% vốn trước khi có 20 đơn đầu tiên; đợt mua phôi sau đều đối ứng bằng đơn/cọc đã có.</t>
  </si>
  <si>
    <t xml:space="preserve">KPI &amp; ĐỘ NHẠY — cần bao nhiêu đơn/ngày để ra 30 triệu?</t>
  </si>
  <si>
    <t xml:space="preserve">Lợi nhuận ròng/đơn bình quân (DonVi)</t>
  </si>
  <si>
    <t xml:space="preserve">Tổng chi phí cố định 60 ngày (KichBan)</t>
  </si>
  <si>
    <t xml:space="preserve">Số đơn cần (gồm bù chi phí cố định)</t>
  </si>
  <si>
    <t xml:space="preserve">Đơn/ngày cần nếu bán đều 60 ngày</t>
  </si>
  <si>
    <t xml:space="preserve">Đơn/ngày cần nếu tuần cuối (29/12–1/1) chỉ bằng nửa (56 ngày hiệu dụng)</t>
  </si>
  <si>
    <t xml:space="preserve">Doanh thu cần (₫)</t>
  </si>
  <si>
    <t xml:space="preserve">ĐỘ NHẠY: LN ròng 60 ngày theo LN/đơn (hàng) × đơn/ngày bình quân (cột), đã trừ chi phí cố định</t>
  </si>
  <si>
    <t xml:space="preserve">LN/đơn ↓  |  đơn/ngày →</t>
  </si>
  <si>
    <t xml:space="preserve">Ô ≥ 30.000.000 là tổ hợp đạt KPI. Đọc hàng gần nhất với LN/đơn thực tế của bạn trong DonVi.</t>
  </si>
  <si>
    <t xml:space="preserve">4 ĐÒN BẨY ĐỂ TĂNG LN/ĐƠN (sửa ở GiaDinh rồi xem lại B3):</t>
  </si>
  <si>
    <t xml:space="preserve">1. Tỷ trọng kênh trực tiếp 45% → 60%: bớt ~5 điểm % phí sàn</t>
  </si>
  <si>
    <t xml:space="preserve">2. TikTok 0% phí giao dịch 60 ngày (nếu đủ điều kiện shop mới): +6% trên đơn TikTok</t>
  </si>
  <si>
    <t xml:space="preserve">3. CAC 30k → 20k nhờ video tự nhiên + affiliate thay vì ads</t>
  </si>
  <si>
    <t xml:space="preserve">4. Tỷ trọng Hộp Quà 20% → 30%: AOV tăng, phí cố định/đơn không đổi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</si>
</sst>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dd/mm/yyyy"/>
    <numFmt numFmtId="167" formatCode="0"/>
    <numFmt numFmtId="168" formatCode="0.0%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5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8" min="5" style="0" width="15"/>
    <col collapsed="false" customWidth="true" hidden="false" outlineLevel="0" max="9" min="9" style="0" width="13"/>
    <col collapsed="false" customWidth="true" hidden="false" outlineLevel="0" max="10" min="10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10000000</v>
      </c>
      <c r="J4" s="2" t="s">
        <v>3</v>
      </c>
    </row>
    <row r="5" customFormat="false" ht="15" hidden="false" customHeight="false" outlineLevel="0" collapsed="false">
      <c r="A5" s="3" t="s">
        <v>4</v>
      </c>
      <c r="B5" s="4" t="n">
        <v>30000000</v>
      </c>
      <c r="J5" s="2" t="s">
        <v>5</v>
      </c>
    </row>
    <row r="6" customFormat="false" ht="15" hidden="false" customHeight="false" outlineLevel="0" collapsed="false">
      <c r="A6" s="3" t="s">
        <v>6</v>
      </c>
      <c r="B6" s="5" t="n">
        <v>46329</v>
      </c>
      <c r="J6" s="2" t="s">
        <v>7</v>
      </c>
    </row>
    <row r="7" customFormat="false" ht="15" hidden="false" customHeight="false" outlineLevel="0" collapsed="false">
      <c r="A7" s="3" t="s">
        <v>8</v>
      </c>
      <c r="B7" s="5" t="n">
        <v>46389</v>
      </c>
      <c r="J7" s="2" t="s">
        <v>9</v>
      </c>
    </row>
    <row r="8" customFormat="false" ht="15" hidden="false" customHeight="false" outlineLevel="0" collapsed="false">
      <c r="A8" s="3" t="s">
        <v>10</v>
      </c>
      <c r="B8" s="6" t="n">
        <f aca="false">B7-B6</f>
        <v>60</v>
      </c>
      <c r="J8" s="2" t="s">
        <v>11</v>
      </c>
    </row>
    <row r="10" customFormat="false" ht="15" hidden="false" customHeight="false" outlineLevel="0" collapsed="false">
      <c r="A10" s="7" t="s">
        <v>12</v>
      </c>
    </row>
    <row r="11" customFormat="false" ht="23.85" hidden="false" customHeight="false" outlineLevel="0" collapsed="false">
      <c r="A11" s="8" t="s">
        <v>13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19</v>
      </c>
      <c r="H11" s="8"/>
      <c r="I11" s="8"/>
      <c r="J11" s="8" t="s">
        <v>20</v>
      </c>
    </row>
    <row r="12" customFormat="false" ht="32.8" hidden="false" customHeight="false" outlineLevel="0" collapsed="false">
      <c r="A12" s="9" t="s">
        <v>21</v>
      </c>
      <c r="B12" s="10" t="n">
        <v>0.15</v>
      </c>
      <c r="C12" s="10" t="n">
        <v>0.06</v>
      </c>
      <c r="D12" s="11" t="n">
        <v>0.015</v>
      </c>
      <c r="E12" s="10" t="n">
        <v>0.45</v>
      </c>
      <c r="F12" s="12" t="n">
        <v>3000</v>
      </c>
      <c r="G12" s="13" t="n">
        <f aca="false">B12+C12+D12</f>
        <v>0.225</v>
      </c>
      <c r="J12" s="14" t="s">
        <v>22</v>
      </c>
    </row>
    <row r="13" customFormat="false" ht="22.35" hidden="false" customHeight="false" outlineLevel="0" collapsed="false">
      <c r="A13" s="9" t="s">
        <v>23</v>
      </c>
      <c r="B13" s="10" t="n">
        <v>0.165</v>
      </c>
      <c r="C13" s="10" t="n">
        <v>0.06</v>
      </c>
      <c r="D13" s="11" t="n">
        <v>0.015</v>
      </c>
      <c r="E13" s="10" t="n">
        <v>0.1</v>
      </c>
      <c r="F13" s="12" t="n">
        <v>5700</v>
      </c>
      <c r="G13" s="13" t="n">
        <f aca="false">B13+C13+D13</f>
        <v>0.24</v>
      </c>
      <c r="J13" s="14" t="s">
        <v>24</v>
      </c>
    </row>
    <row r="14" customFormat="false" ht="23.85" hidden="false" customHeight="false" outlineLevel="0" collapsed="false">
      <c r="A14" s="9" t="s">
        <v>25</v>
      </c>
      <c r="B14" s="10" t="n">
        <v>0</v>
      </c>
      <c r="C14" s="10" t="n">
        <v>0</v>
      </c>
      <c r="D14" s="11" t="n">
        <v>0</v>
      </c>
      <c r="E14" s="10" t="n">
        <v>0.45</v>
      </c>
      <c r="F14" s="12" t="n">
        <v>0</v>
      </c>
      <c r="G14" s="13" t="n">
        <f aca="false">B14+C14+D14</f>
        <v>0</v>
      </c>
      <c r="J14" s="14" t="s">
        <v>26</v>
      </c>
    </row>
    <row r="15" customFormat="false" ht="15" hidden="false" customHeight="false" outlineLevel="0" collapsed="false">
      <c r="A15" s="7" t="s">
        <v>27</v>
      </c>
      <c r="B15" s="15" t="n">
        <f aca="false">SUMPRODUCT(B12:B14,$E$12:$E$14)</f>
        <v>0.084</v>
      </c>
      <c r="C15" s="15" t="n">
        <f aca="false">SUMPRODUCT(C12:C14,$E$12:$E$14)</f>
        <v>0.033</v>
      </c>
      <c r="D15" s="15" t="n">
        <f aca="false">SUMPRODUCT(D12:D14,$E$12:$E$14)</f>
        <v>0.00825</v>
      </c>
      <c r="E15" s="15" t="n">
        <f aca="false">SUM(E12:E14)</f>
        <v>1</v>
      </c>
      <c r="F15" s="16" t="n">
        <f aca="false">SUMPRODUCT(F12:F14,$E$12:$E$14)</f>
        <v>1920</v>
      </c>
      <c r="G15" s="15" t="n">
        <f aca="false">SUMPRODUCT(G12:G14,$E$12:$E$14)</f>
        <v>0.12525</v>
      </c>
      <c r="H15" s="3" t="str">
        <f aca="false">IF(ABS(E15-1)&lt;0.001,"OK","SAI: tỷ trọng ≠ 100%")</f>
        <v>OK</v>
      </c>
    </row>
    <row r="17" customFormat="false" ht="15" hidden="false" customHeight="false" outlineLevel="0" collapsed="false">
      <c r="A17" s="7" t="s">
        <v>28</v>
      </c>
    </row>
    <row r="18" customFormat="false" ht="32.8" hidden="false" customHeight="false" outlineLevel="0" collapsed="false">
      <c r="A18" s="3" t="s">
        <v>29</v>
      </c>
      <c r="B18" s="12" t="n">
        <v>16000</v>
      </c>
      <c r="J18" s="14" t="s">
        <v>30</v>
      </c>
    </row>
    <row r="19" customFormat="false" ht="22.35" hidden="false" customHeight="false" outlineLevel="0" collapsed="false">
      <c r="A19" s="3" t="s">
        <v>31</v>
      </c>
      <c r="B19" s="12" t="n">
        <v>5000</v>
      </c>
      <c r="J19" s="14" t="s">
        <v>32</v>
      </c>
    </row>
    <row r="20" customFormat="false" ht="15" hidden="false" customHeight="false" outlineLevel="0" collapsed="false">
      <c r="A20" s="3" t="s">
        <v>33</v>
      </c>
      <c r="B20" s="10" t="n">
        <v>0.1</v>
      </c>
      <c r="J20" s="14" t="s">
        <v>34</v>
      </c>
    </row>
    <row r="21" customFormat="false" ht="22.35" hidden="false" customHeight="false" outlineLevel="0" collapsed="false">
      <c r="A21" s="3" t="s">
        <v>35</v>
      </c>
      <c r="B21" s="12" t="n">
        <v>40000</v>
      </c>
      <c r="J21" s="14" t="s">
        <v>36</v>
      </c>
    </row>
    <row r="22" customFormat="false" ht="22.35" hidden="false" customHeight="false" outlineLevel="0" collapsed="false">
      <c r="A22" s="3" t="s">
        <v>37</v>
      </c>
      <c r="B22" s="4" t="n">
        <v>30000</v>
      </c>
      <c r="J22" s="14" t="s">
        <v>38</v>
      </c>
    </row>
    <row r="23" customFormat="false" ht="15" hidden="false" customHeight="false" outlineLevel="0" collapsed="false">
      <c r="A23" s="3" t="s">
        <v>39</v>
      </c>
      <c r="B23" s="17" t="n">
        <v>1</v>
      </c>
      <c r="J23" s="14" t="s">
        <v>40</v>
      </c>
    </row>
    <row r="24" customFormat="false" ht="15" hidden="false" customHeight="false" outlineLevel="0" collapsed="false">
      <c r="A24" s="3" t="s">
        <v>41</v>
      </c>
      <c r="B24" s="11" t="n">
        <v>0.25</v>
      </c>
      <c r="J24" s="14" t="s">
        <v>42</v>
      </c>
    </row>
    <row r="26" customFormat="false" ht="15" hidden="false" customHeight="false" outlineLevel="0" collapsed="false">
      <c r="A26" s="7" t="s">
        <v>43</v>
      </c>
    </row>
    <row r="27" customFormat="false" ht="15" hidden="false" customHeight="false" outlineLevel="0" collapsed="false">
      <c r="A27" s="8" t="s">
        <v>44</v>
      </c>
      <c r="B27" s="8" t="s">
        <v>45</v>
      </c>
      <c r="C27" s="8" t="s">
        <v>46</v>
      </c>
      <c r="D27" s="8" t="s">
        <v>47</v>
      </c>
      <c r="E27" s="8" t="s">
        <v>48</v>
      </c>
      <c r="F27" s="8" t="s">
        <v>49</v>
      </c>
      <c r="G27" s="8" t="s">
        <v>50</v>
      </c>
      <c r="H27" s="8" t="s">
        <v>51</v>
      </c>
      <c r="I27" s="8" t="s">
        <v>17</v>
      </c>
      <c r="J27" s="8" t="s">
        <v>52</v>
      </c>
    </row>
    <row r="28" customFormat="false" ht="32.8" hidden="false" customHeight="false" outlineLevel="0" collapsed="false">
      <c r="A28" s="9" t="s">
        <v>53</v>
      </c>
      <c r="B28" s="4" t="n">
        <v>499000</v>
      </c>
      <c r="C28" s="11" t="n">
        <v>0.08</v>
      </c>
      <c r="D28" s="18" t="n">
        <f aca="false">B28*(1-C28)</f>
        <v>459080</v>
      </c>
      <c r="E28" s="4" t="n">
        <v>156000</v>
      </c>
      <c r="F28" s="12" t="n">
        <v>50000</v>
      </c>
      <c r="G28" s="12" t="n">
        <v>6000</v>
      </c>
      <c r="H28" s="18" t="n">
        <f aca="false">E28+F28+G28</f>
        <v>212000</v>
      </c>
      <c r="I28" s="11" t="n">
        <v>0.3</v>
      </c>
      <c r="J28" s="14" t="s">
        <v>54</v>
      </c>
    </row>
    <row r="29" customFormat="false" ht="23.85" hidden="false" customHeight="false" outlineLevel="0" collapsed="false">
      <c r="A29" s="9" t="s">
        <v>55</v>
      </c>
      <c r="B29" s="4" t="n">
        <v>349000</v>
      </c>
      <c r="C29" s="11" t="n">
        <v>0.08</v>
      </c>
      <c r="D29" s="18" t="n">
        <f aca="false">B29*(1-C29)</f>
        <v>321080</v>
      </c>
      <c r="E29" s="4" t="n">
        <v>100000</v>
      </c>
      <c r="F29" s="12" t="n">
        <v>50000</v>
      </c>
      <c r="G29" s="12" t="n">
        <v>6000</v>
      </c>
      <c r="H29" s="18" t="n">
        <f aca="false">E29+F29+G29</f>
        <v>156000</v>
      </c>
      <c r="I29" s="11" t="n">
        <v>0.25</v>
      </c>
      <c r="J29" s="14" t="s">
        <v>56</v>
      </c>
    </row>
    <row r="30" customFormat="false" ht="23.85" hidden="false" customHeight="false" outlineLevel="0" collapsed="false">
      <c r="A30" s="9" t="s">
        <v>57</v>
      </c>
      <c r="B30" s="4" t="n">
        <v>149000</v>
      </c>
      <c r="C30" s="11" t="n">
        <v>0</v>
      </c>
      <c r="D30" s="18" t="n">
        <f aca="false">B30*(1-C30)</f>
        <v>149000</v>
      </c>
      <c r="E30" s="4" t="n">
        <v>17000</v>
      </c>
      <c r="F30" s="12" t="n">
        <v>20000</v>
      </c>
      <c r="G30" s="12" t="n">
        <v>8000</v>
      </c>
      <c r="H30" s="18" t="n">
        <f aca="false">E30+F30+G30</f>
        <v>45000</v>
      </c>
      <c r="I30" s="11" t="n">
        <v>0.25</v>
      </c>
      <c r="J30" s="14" t="s">
        <v>58</v>
      </c>
    </row>
    <row r="31" customFormat="false" ht="23.85" hidden="false" customHeight="false" outlineLevel="0" collapsed="false">
      <c r="A31" s="9" t="s">
        <v>59</v>
      </c>
      <c r="B31" s="4" t="n">
        <v>599000</v>
      </c>
      <c r="C31" s="11" t="n">
        <v>0.05</v>
      </c>
      <c r="D31" s="18" t="n">
        <f aca="false">B31*(1-C31)</f>
        <v>569050</v>
      </c>
      <c r="E31" s="4" t="n">
        <v>173000</v>
      </c>
      <c r="F31" s="12" t="n">
        <v>70000</v>
      </c>
      <c r="G31" s="12" t="n">
        <v>22000</v>
      </c>
      <c r="H31" s="18" t="n">
        <f aca="false">E31+F31+G31</f>
        <v>265000</v>
      </c>
      <c r="I31" s="11" t="n">
        <v>0.2</v>
      </c>
      <c r="J31" s="14" t="s">
        <v>60</v>
      </c>
    </row>
    <row r="32" customFormat="false" ht="15" hidden="false" customHeight="false" outlineLevel="0" collapsed="false">
      <c r="A32" s="7" t="s">
        <v>61</v>
      </c>
      <c r="D32" s="16" t="n">
        <f aca="false">SUMPRODUCT(D28:D31,$I$28:$I$31)</f>
        <v>369054</v>
      </c>
      <c r="H32" s="16" t="n">
        <f aca="false">SUMPRODUCT(H28:H31,$I$28:$I$31)</f>
        <v>166850</v>
      </c>
      <c r="I32" s="15" t="n">
        <f aca="false">SUM(I28:I31)</f>
        <v>1</v>
      </c>
      <c r="J32" s="3" t="str">
        <f aca="false">IF(ABS(I32-1)&lt;0.001,"Tỷ trọng = 100%: OK","SAI: tỷ trọng ≠ 100%")</f>
        <v>Tỷ trọng = 100%: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22"/>
  </cols>
  <sheetData>
    <row r="1" customFormat="false" ht="16.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23.85" hidden="false" customHeight="false" outlineLevel="0" collapsed="false">
      <c r="A4" s="8" t="s">
        <v>64</v>
      </c>
      <c r="B4" s="8" t="s">
        <v>65</v>
      </c>
      <c r="C4" s="8" t="s">
        <v>66</v>
      </c>
      <c r="D4" s="8" t="s">
        <v>67</v>
      </c>
      <c r="E4" s="8" t="s">
        <v>68</v>
      </c>
      <c r="F4" s="8" t="s">
        <v>69</v>
      </c>
    </row>
    <row r="5" customFormat="false" ht="15" hidden="false" customHeight="false" outlineLevel="0" collapsed="false">
      <c r="A5" s="3" t="s">
        <v>70</v>
      </c>
      <c r="B5" s="19" t="n">
        <f aca="false">GiaDinh!D28</f>
        <v>459080</v>
      </c>
      <c r="C5" s="19" t="n">
        <f aca="false">GiaDinh!D29</f>
        <v>321080</v>
      </c>
      <c r="D5" s="19" t="n">
        <f aca="false">GiaDinh!D30</f>
        <v>149000</v>
      </c>
      <c r="E5" s="19" t="n">
        <f aca="false">GiaDinh!D31</f>
        <v>569050</v>
      </c>
      <c r="F5" s="19" t="n">
        <f aca="false">GiaDinh!$D$32</f>
        <v>369054</v>
      </c>
    </row>
    <row r="6" customFormat="false" ht="15" hidden="false" customHeight="false" outlineLevel="0" collapsed="false">
      <c r="A6" s="3" t="s">
        <v>71</v>
      </c>
      <c r="B6" s="19" t="n">
        <f aca="false">-B5*(GiaDinh!$B$15+GiaDinh!$C$15)</f>
        <v>-53712.36</v>
      </c>
      <c r="C6" s="19" t="n">
        <f aca="false">-C5*(GiaDinh!$B$15+GiaDinh!$C$15)</f>
        <v>-37566.36</v>
      </c>
      <c r="D6" s="19" t="n">
        <f aca="false">-D5*(GiaDinh!$B$15+GiaDinh!$C$15)</f>
        <v>-17433</v>
      </c>
      <c r="E6" s="19" t="n">
        <f aca="false">-E5*(GiaDinh!$B$15+GiaDinh!$C$15)</f>
        <v>-66578.85</v>
      </c>
      <c r="F6" s="19" t="n">
        <f aca="false">-F5*(GiaDinh!$B$15+GiaDinh!$C$15)</f>
        <v>-43179.318</v>
      </c>
    </row>
    <row r="7" customFormat="false" ht="15" hidden="false" customHeight="false" outlineLevel="0" collapsed="false">
      <c r="A7" s="3" t="s">
        <v>72</v>
      </c>
      <c r="B7" s="19" t="n">
        <f aca="false">-B5*GiaDinh!$D$15</f>
        <v>-3787.41</v>
      </c>
      <c r="C7" s="19" t="n">
        <f aca="false">-C5*GiaDinh!$D$15</f>
        <v>-2648.91</v>
      </c>
      <c r="D7" s="19" t="n">
        <f aca="false">-D5*GiaDinh!$D$15</f>
        <v>-1229.25</v>
      </c>
      <c r="E7" s="19" t="n">
        <f aca="false">-E5*GiaDinh!$D$15</f>
        <v>-4694.6625</v>
      </c>
      <c r="F7" s="19" t="n">
        <f aca="false">-F5*GiaDinh!$D$15</f>
        <v>-3044.6955</v>
      </c>
    </row>
    <row r="8" customFormat="false" ht="15" hidden="false" customHeight="false" outlineLevel="0" collapsed="false">
      <c r="A8" s="3" t="s">
        <v>73</v>
      </c>
      <c r="B8" s="19" t="n">
        <f aca="false">-GiaDinh!H28</f>
        <v>-212000</v>
      </c>
      <c r="C8" s="19" t="n">
        <f aca="false">-GiaDinh!H29</f>
        <v>-156000</v>
      </c>
      <c r="D8" s="19" t="n">
        <f aca="false">-GiaDinh!H30</f>
        <v>-45000</v>
      </c>
      <c r="E8" s="19" t="n">
        <f aca="false">-GiaDinh!H31</f>
        <v>-265000</v>
      </c>
      <c r="F8" s="19" t="n">
        <f aca="false">-GiaDinh!$H$32</f>
        <v>-166850</v>
      </c>
    </row>
    <row r="9" customFormat="false" ht="15" hidden="false" customHeight="false" outlineLevel="0" collapsed="false">
      <c r="A9" s="3" t="s">
        <v>74</v>
      </c>
      <c r="B9" s="19" t="n">
        <f aca="false">-GiaDinh!$F$15</f>
        <v>-1920</v>
      </c>
      <c r="C9" s="19" t="n">
        <f aca="false">-GiaDinh!$F$15</f>
        <v>-1920</v>
      </c>
      <c r="D9" s="19" t="n">
        <f aca="false">-GiaDinh!$F$15</f>
        <v>-1920</v>
      </c>
      <c r="E9" s="19" t="n">
        <f aca="false">-GiaDinh!$F$15</f>
        <v>-1920</v>
      </c>
      <c r="F9" s="19" t="n">
        <f aca="false">-GiaDinh!$F$15</f>
        <v>-1920</v>
      </c>
    </row>
    <row r="10" customFormat="false" ht="15" hidden="false" customHeight="false" outlineLevel="0" collapsed="false">
      <c r="A10" s="3" t="s">
        <v>75</v>
      </c>
      <c r="B10" s="19" t="n">
        <f aca="false">-GiaDinh!$B$18</f>
        <v>-16000</v>
      </c>
      <c r="C10" s="19" t="n">
        <f aca="false">-GiaDinh!$B$18</f>
        <v>-16000</v>
      </c>
      <c r="D10" s="19" t="n">
        <f aca="false">-GiaDinh!$B$18</f>
        <v>-16000</v>
      </c>
      <c r="E10" s="19" t="n">
        <f aca="false">-GiaDinh!$B$18</f>
        <v>-16000</v>
      </c>
      <c r="F10" s="19" t="n">
        <f aca="false">-GiaDinh!$B$18</f>
        <v>-16000</v>
      </c>
    </row>
    <row r="11" customFormat="false" ht="15" hidden="false" customHeight="false" outlineLevel="0" collapsed="false">
      <c r="A11" s="3" t="s">
        <v>76</v>
      </c>
      <c r="B11" s="19" t="n">
        <f aca="false">-GiaDinh!$B$19</f>
        <v>-5000</v>
      </c>
      <c r="C11" s="19" t="n">
        <f aca="false">-GiaDinh!$B$19</f>
        <v>-5000</v>
      </c>
      <c r="D11" s="19" t="n">
        <f aca="false">-GiaDinh!$B$19</f>
        <v>-5000</v>
      </c>
      <c r="E11" s="19" t="n">
        <f aca="false">-GiaDinh!$B$19</f>
        <v>-5000</v>
      </c>
      <c r="F11" s="19" t="n">
        <f aca="false">-GiaDinh!$B$19</f>
        <v>-5000</v>
      </c>
    </row>
    <row r="12" customFormat="false" ht="15" hidden="false" customHeight="false" outlineLevel="0" collapsed="false">
      <c r="A12" s="3" t="s">
        <v>77</v>
      </c>
      <c r="B12" s="19" t="n">
        <f aca="false">-GiaDinh!$B$20*GiaDinh!$B$21</f>
        <v>-4000</v>
      </c>
      <c r="C12" s="19" t="n">
        <f aca="false">-GiaDinh!$B$20*GiaDinh!$B$21</f>
        <v>-4000</v>
      </c>
      <c r="D12" s="19" t="n">
        <f aca="false">-GiaDinh!$B$20*GiaDinh!$B$21</f>
        <v>-4000</v>
      </c>
      <c r="E12" s="19" t="n">
        <f aca="false">-GiaDinh!$B$20*GiaDinh!$B$21</f>
        <v>-4000</v>
      </c>
      <c r="F12" s="19" t="n">
        <f aca="false">-GiaDinh!$B$20*GiaDinh!$B$21</f>
        <v>-4000</v>
      </c>
    </row>
    <row r="13" customFormat="false" ht="15" hidden="false" customHeight="false" outlineLevel="0" collapsed="false">
      <c r="A13" s="3" t="s">
        <v>78</v>
      </c>
      <c r="B13" s="19" t="n">
        <f aca="false">-GiaDinh!$B$22</f>
        <v>-30000</v>
      </c>
      <c r="C13" s="19" t="n">
        <f aca="false">-GiaDinh!$B$22</f>
        <v>-30000</v>
      </c>
      <c r="D13" s="19" t="n">
        <f aca="false">-GiaDinh!$B$22</f>
        <v>-30000</v>
      </c>
      <c r="E13" s="19" t="n">
        <f aca="false">-GiaDinh!$B$22</f>
        <v>-30000</v>
      </c>
      <c r="F13" s="19" t="n">
        <f aca="false">-GiaDinh!$B$22</f>
        <v>-30000</v>
      </c>
    </row>
    <row r="14" customFormat="false" ht="15" hidden="false" customHeight="false" outlineLevel="0" collapsed="false">
      <c r="A14" s="7" t="s">
        <v>79</v>
      </c>
      <c r="B14" s="16" t="n">
        <f aca="false">SUM(B5:B13)</f>
        <v>132660.23</v>
      </c>
      <c r="C14" s="16" t="n">
        <f aca="false">SUM(C5:C13)</f>
        <v>67944.73</v>
      </c>
      <c r="D14" s="16" t="n">
        <f aca="false">SUM(D5:D13)</f>
        <v>28417.75</v>
      </c>
      <c r="E14" s="16" t="n">
        <f aca="false">SUM(E5:E13)</f>
        <v>175856.4875</v>
      </c>
      <c r="F14" s="16" t="n">
        <f aca="false">SUM(F5:F13)</f>
        <v>99059.9865</v>
      </c>
    </row>
    <row r="15" customFormat="false" ht="15" hidden="false" customHeight="false" outlineLevel="0" collapsed="false">
      <c r="A15" s="3" t="s">
        <v>80</v>
      </c>
      <c r="B15" s="13" t="n">
        <f aca="false">IF(B5=0,0,B14/B5)</f>
        <v>0.288969743835497</v>
      </c>
      <c r="C15" s="13" t="n">
        <f aca="false">IF(C5=0,0,C14/C5)</f>
        <v>0.211613087081101</v>
      </c>
      <c r="D15" s="13" t="n">
        <f aca="false">IF(D5=0,0,D14/D5)</f>
        <v>0.190723154362416</v>
      </c>
      <c r="E15" s="13" t="n">
        <f aca="false">IF(E5=0,0,E14/E5)</f>
        <v>0.309035212195765</v>
      </c>
      <c r="F15" s="13" t="n">
        <f aca="false">IF(F5=0,0,F14/F5)</f>
        <v>0.26841596758198</v>
      </c>
    </row>
    <row r="16" customFormat="false" ht="15" hidden="false" customHeight="false" outlineLevel="0" collapsed="false">
      <c r="A16" s="3" t="s">
        <v>81</v>
      </c>
      <c r="B16" s="18" t="n">
        <f aca="false">B5+B8</f>
        <v>247080</v>
      </c>
      <c r="C16" s="18" t="n">
        <f aca="false">C5+C8</f>
        <v>165080</v>
      </c>
      <c r="D16" s="18" t="n">
        <f aca="false">D5+D8</f>
        <v>104000</v>
      </c>
      <c r="E16" s="18" t="n">
        <f aca="false">E5+E8</f>
        <v>304050</v>
      </c>
      <c r="F16" s="18" t="n">
        <f aca="false">F5+F8</f>
        <v>202204</v>
      </c>
    </row>
    <row r="17" customFormat="false" ht="15" hidden="false" customHeight="false" outlineLevel="0" collapsed="false">
      <c r="A17" s="3" t="s">
        <v>82</v>
      </c>
      <c r="B17" s="6" t="n">
        <f aca="false">IF(B14&lt;=0,"không khả thi",GiaDinh!$B$5/B14)</f>
        <v>226.141625112515</v>
      </c>
      <c r="C17" s="6" t="n">
        <f aca="false">IF(C14&lt;=0,"không khả thi",GiaDinh!$B$5/C14)</f>
        <v>441.535347921759</v>
      </c>
      <c r="D17" s="6" t="n">
        <f aca="false">IF(D14&lt;=0,"không khả thi",GiaDinh!$B$5/D14)</f>
        <v>1055.67822927572</v>
      </c>
      <c r="E17" s="6" t="n">
        <f aca="false">IF(E14&lt;=0,"không khả thi",GiaDinh!$B$5/E14)</f>
        <v>170.593649551883</v>
      </c>
      <c r="F17" s="6" t="n">
        <f aca="false">IF(F14&lt;=0,"không khả thi",GiaDinh!$B$5/F14)</f>
        <v>302.84680081195</v>
      </c>
    </row>
    <row r="18" customFormat="false" ht="15" hidden="false" customHeight="false" outlineLevel="0" collapsed="false">
      <c r="A18" s="3" t="s">
        <v>83</v>
      </c>
      <c r="B18" s="20" t="n">
        <f aca="false">IF(B14&lt;=0,"-",GiaDinh!$B$5/B14/GiaDinh!$B$8)</f>
        <v>3.76902708520858</v>
      </c>
      <c r="C18" s="20" t="n">
        <f aca="false">IF(C14&lt;=0,"-",GiaDinh!$B$5/C14/GiaDinh!$B$8)</f>
        <v>7.35892246536266</v>
      </c>
      <c r="D18" s="20" t="n">
        <f aca="false">IF(D14&lt;=0,"-",GiaDinh!$B$5/D14/GiaDinh!$B$8)</f>
        <v>17.5946371545953</v>
      </c>
      <c r="E18" s="20" t="n">
        <f aca="false">IF(E14&lt;=0,"-",GiaDinh!$B$5/E14/GiaDinh!$B$8)</f>
        <v>2.84322749253138</v>
      </c>
      <c r="F18" s="20" t="n">
        <f aca="false">IF(F14&lt;=0,"-",GiaDinh!$B$5/F14/GiaDinh!$B$8)</f>
        <v>5.04744668019917</v>
      </c>
    </row>
    <row r="20" customFormat="false" ht="15" hidden="false" customHeight="false" outlineLevel="0" collapsed="false">
      <c r="A20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4"/>
    <col collapsed="false" customWidth="true" hidden="false" outlineLevel="0" max="11" min="11" style="0" width="16"/>
  </cols>
  <sheetData>
    <row r="1" customFormat="false" ht="16.1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8" t="s">
        <v>87</v>
      </c>
      <c r="B4" s="8" t="s">
        <v>88</v>
      </c>
      <c r="C4" s="8" t="s">
        <v>89</v>
      </c>
      <c r="D4" s="8" t="s">
        <v>90</v>
      </c>
      <c r="E4" s="8" t="s">
        <v>91</v>
      </c>
      <c r="F4" s="8" t="s">
        <v>92</v>
      </c>
      <c r="G4" s="8" t="s">
        <v>93</v>
      </c>
      <c r="H4" s="8" t="s">
        <v>94</v>
      </c>
      <c r="I4" s="8" t="s">
        <v>95</v>
      </c>
      <c r="J4" s="8" t="s">
        <v>96</v>
      </c>
      <c r="K4" s="8" t="s">
        <v>97</v>
      </c>
    </row>
    <row r="5" customFormat="false" ht="15" hidden="false" customHeight="false" outlineLevel="0" collapsed="false">
      <c r="A5" s="3" t="s">
        <v>98</v>
      </c>
      <c r="B5" s="17" t="n">
        <v>7</v>
      </c>
      <c r="C5" s="17" t="n">
        <v>7</v>
      </c>
      <c r="D5" s="17" t="n">
        <v>7</v>
      </c>
      <c r="E5" s="17" t="n">
        <v>7</v>
      </c>
      <c r="F5" s="17" t="n">
        <v>7</v>
      </c>
      <c r="G5" s="17" t="n">
        <v>7</v>
      </c>
      <c r="H5" s="17" t="n">
        <v>7</v>
      </c>
      <c r="I5" s="17" t="n">
        <v>7</v>
      </c>
      <c r="J5" s="17" t="n">
        <v>4</v>
      </c>
      <c r="K5" s="6" t="n">
        <f aca="false">SUM(B5:J5)</f>
        <v>60</v>
      </c>
    </row>
    <row r="6" customFormat="false" ht="15" hidden="false" customHeight="false" outlineLevel="0" collapsed="false">
      <c r="A6" s="3" t="s">
        <v>99</v>
      </c>
      <c r="B6" s="12" t="n">
        <v>800000</v>
      </c>
      <c r="C6" s="12" t="n">
        <v>500000</v>
      </c>
      <c r="D6" s="12" t="n">
        <v>300000</v>
      </c>
      <c r="E6" s="12" t="n">
        <v>300000</v>
      </c>
      <c r="F6" s="12" t="n">
        <v>400000</v>
      </c>
      <c r="G6" s="12" t="n">
        <v>300000</v>
      </c>
      <c r="H6" s="12" t="n">
        <v>300000</v>
      </c>
      <c r="I6" s="12" t="n">
        <v>200000</v>
      </c>
      <c r="J6" s="12" t="n">
        <v>100000</v>
      </c>
      <c r="K6" s="18" t="n">
        <f aca="false">SUM(B6:J6)</f>
        <v>3200000</v>
      </c>
    </row>
    <row r="8" customFormat="false" ht="15" hidden="false" customHeight="false" outlineLevel="0" collapsed="false">
      <c r="A8" s="7" t="s">
        <v>100</v>
      </c>
    </row>
    <row r="9" customFormat="false" ht="15" hidden="false" customHeight="false" outlineLevel="0" collapsed="false">
      <c r="A9" s="3" t="s">
        <v>101</v>
      </c>
      <c r="B9" s="21" t="n">
        <v>0</v>
      </c>
      <c r="C9" s="21" t="n">
        <v>1</v>
      </c>
      <c r="D9" s="21" t="n">
        <v>2</v>
      </c>
      <c r="E9" s="21" t="n">
        <v>3</v>
      </c>
      <c r="F9" s="21" t="n">
        <v>3</v>
      </c>
      <c r="G9" s="21" t="n">
        <v>4</v>
      </c>
      <c r="H9" s="21" t="n">
        <v>4</v>
      </c>
      <c r="I9" s="21" t="n">
        <v>3</v>
      </c>
      <c r="J9" s="21" t="n">
        <v>3</v>
      </c>
    </row>
    <row r="10" customFormat="false" ht="15" hidden="false" customHeight="false" outlineLevel="0" collapsed="false">
      <c r="A10" s="3" t="s">
        <v>102</v>
      </c>
      <c r="B10" s="6" t="n">
        <f aca="false">B$5*B9</f>
        <v>0</v>
      </c>
      <c r="C10" s="6" t="n">
        <f aca="false">C$5*C9</f>
        <v>7</v>
      </c>
      <c r="D10" s="6" t="n">
        <f aca="false">D$5*D9</f>
        <v>14</v>
      </c>
      <c r="E10" s="6" t="n">
        <f aca="false">E$5*E9</f>
        <v>21</v>
      </c>
      <c r="F10" s="6" t="n">
        <f aca="false">F$5*F9</f>
        <v>21</v>
      </c>
      <c r="G10" s="6" t="n">
        <f aca="false">G$5*G9</f>
        <v>28</v>
      </c>
      <c r="H10" s="6" t="n">
        <f aca="false">H$5*H9</f>
        <v>28</v>
      </c>
      <c r="I10" s="6" t="n">
        <f aca="false">I$5*I9</f>
        <v>21</v>
      </c>
      <c r="J10" s="6" t="n">
        <f aca="false">J$5*J9</f>
        <v>12</v>
      </c>
      <c r="K10" s="22" t="n">
        <f aca="false">SUM(B10:J10)</f>
        <v>152</v>
      </c>
    </row>
    <row r="11" customFormat="false" ht="15" hidden="false" customHeight="false" outlineLevel="0" collapsed="false">
      <c r="A11" s="3" t="s">
        <v>103</v>
      </c>
      <c r="B11" s="18" t="n">
        <f aca="false">B10*GiaDinh!$D$32</f>
        <v>0</v>
      </c>
      <c r="C11" s="18" t="n">
        <f aca="false">C10*GiaDinh!$D$32</f>
        <v>2583378</v>
      </c>
      <c r="D11" s="18" t="n">
        <f aca="false">D10*GiaDinh!$D$32</f>
        <v>5166756</v>
      </c>
      <c r="E11" s="18" t="n">
        <f aca="false">E10*GiaDinh!$D$32</f>
        <v>7750134</v>
      </c>
      <c r="F11" s="18" t="n">
        <f aca="false">F10*GiaDinh!$D$32</f>
        <v>7750134</v>
      </c>
      <c r="G11" s="18" t="n">
        <f aca="false">G10*GiaDinh!$D$32</f>
        <v>10333512</v>
      </c>
      <c r="H11" s="18" t="n">
        <f aca="false">H10*GiaDinh!$D$32</f>
        <v>10333512</v>
      </c>
      <c r="I11" s="18" t="n">
        <f aca="false">I10*GiaDinh!$D$32</f>
        <v>7750134</v>
      </c>
      <c r="J11" s="18" t="n">
        <f aca="false">J10*GiaDinh!$D$32</f>
        <v>4428648</v>
      </c>
      <c r="K11" s="16" t="n">
        <f aca="false">SUM(B11:J11)</f>
        <v>56096208</v>
      </c>
    </row>
    <row r="12" customFormat="false" ht="15" hidden="false" customHeight="false" outlineLevel="0" collapsed="false">
      <c r="A12" s="3" t="s">
        <v>71</v>
      </c>
      <c r="B12" s="18" t="n">
        <f aca="false">-B11*(GiaDinh!$B$15+GiaDinh!$C$15)</f>
        <v>-0</v>
      </c>
      <c r="C12" s="18" t="n">
        <f aca="false">-C11*(GiaDinh!$B$15+GiaDinh!$C$15)</f>
        <v>-302255.226</v>
      </c>
      <c r="D12" s="18" t="n">
        <f aca="false">-D11*(GiaDinh!$B$15+GiaDinh!$C$15)</f>
        <v>-604510.452</v>
      </c>
      <c r="E12" s="18" t="n">
        <f aca="false">-E11*(GiaDinh!$B$15+GiaDinh!$C$15)</f>
        <v>-906765.678</v>
      </c>
      <c r="F12" s="18" t="n">
        <f aca="false">-F11*(GiaDinh!$B$15+GiaDinh!$C$15)</f>
        <v>-906765.678</v>
      </c>
      <c r="G12" s="18" t="n">
        <f aca="false">-G11*(GiaDinh!$B$15+GiaDinh!$C$15)</f>
        <v>-1209020.904</v>
      </c>
      <c r="H12" s="18" t="n">
        <f aca="false">-H11*(GiaDinh!$B$15+GiaDinh!$C$15)</f>
        <v>-1209020.904</v>
      </c>
      <c r="I12" s="18" t="n">
        <f aca="false">-I11*(GiaDinh!$B$15+GiaDinh!$C$15)</f>
        <v>-906765.678</v>
      </c>
      <c r="J12" s="18" t="n">
        <f aca="false">-J11*(GiaDinh!$B$15+GiaDinh!$C$15)</f>
        <v>-518151.816</v>
      </c>
      <c r="K12" s="16" t="n">
        <f aca="false">SUM(B12:J12)</f>
        <v>-6563256.336</v>
      </c>
    </row>
    <row r="13" customFormat="false" ht="15" hidden="false" customHeight="false" outlineLevel="0" collapsed="false">
      <c r="A13" s="3" t="s">
        <v>72</v>
      </c>
      <c r="B13" s="18" t="n">
        <f aca="false">-B11*GiaDinh!$D$15</f>
        <v>-0</v>
      </c>
      <c r="C13" s="18" t="n">
        <f aca="false">-C11*GiaDinh!$D$15</f>
        <v>-21312.8685</v>
      </c>
      <c r="D13" s="18" t="n">
        <f aca="false">-D11*GiaDinh!$D$15</f>
        <v>-42625.737</v>
      </c>
      <c r="E13" s="18" t="n">
        <f aca="false">-E11*GiaDinh!$D$15</f>
        <v>-63938.6055</v>
      </c>
      <c r="F13" s="18" t="n">
        <f aca="false">-F11*GiaDinh!$D$15</f>
        <v>-63938.6055</v>
      </c>
      <c r="G13" s="18" t="n">
        <f aca="false">-G11*GiaDinh!$D$15</f>
        <v>-85251.474</v>
      </c>
      <c r="H13" s="18" t="n">
        <f aca="false">-H11*GiaDinh!$D$15</f>
        <v>-85251.474</v>
      </c>
      <c r="I13" s="18" t="n">
        <f aca="false">-I11*GiaDinh!$D$15</f>
        <v>-63938.6055</v>
      </c>
      <c r="J13" s="18" t="n">
        <f aca="false">-J11*GiaDinh!$D$15</f>
        <v>-36536.346</v>
      </c>
      <c r="K13" s="16" t="n">
        <f aca="false">SUM(B13:J13)</f>
        <v>-462793.716</v>
      </c>
    </row>
    <row r="14" customFormat="false" ht="15" hidden="false" customHeight="false" outlineLevel="0" collapsed="false">
      <c r="A14" s="3" t="s">
        <v>74</v>
      </c>
      <c r="B14" s="18" t="n">
        <f aca="false">-B10*GiaDinh!$F$15</f>
        <v>-0</v>
      </c>
      <c r="C14" s="18" t="n">
        <f aca="false">-C10*GiaDinh!$F$15</f>
        <v>-13440</v>
      </c>
      <c r="D14" s="18" t="n">
        <f aca="false">-D10*GiaDinh!$F$15</f>
        <v>-26880</v>
      </c>
      <c r="E14" s="18" t="n">
        <f aca="false">-E10*GiaDinh!$F$15</f>
        <v>-40320</v>
      </c>
      <c r="F14" s="18" t="n">
        <f aca="false">-F10*GiaDinh!$F$15</f>
        <v>-40320</v>
      </c>
      <c r="G14" s="18" t="n">
        <f aca="false">-G10*GiaDinh!$F$15</f>
        <v>-53760</v>
      </c>
      <c r="H14" s="18" t="n">
        <f aca="false">-H10*GiaDinh!$F$15</f>
        <v>-53760</v>
      </c>
      <c r="I14" s="18" t="n">
        <f aca="false">-I10*GiaDinh!$F$15</f>
        <v>-40320</v>
      </c>
      <c r="J14" s="18" t="n">
        <f aca="false">-J10*GiaDinh!$F$15</f>
        <v>-23040</v>
      </c>
      <c r="K14" s="16" t="n">
        <f aca="false">SUM(B14:J14)</f>
        <v>-291840</v>
      </c>
    </row>
    <row r="15" customFormat="false" ht="15" hidden="false" customHeight="false" outlineLevel="0" collapsed="false">
      <c r="A15" s="3" t="s">
        <v>104</v>
      </c>
      <c r="B15" s="18" t="n">
        <f aca="false">-B10*GiaDinh!$H$32</f>
        <v>-0</v>
      </c>
      <c r="C15" s="18" t="n">
        <f aca="false">-C10*GiaDinh!$H$32</f>
        <v>-1167950</v>
      </c>
      <c r="D15" s="18" t="n">
        <f aca="false">-D10*GiaDinh!$H$32</f>
        <v>-2335900</v>
      </c>
      <c r="E15" s="18" t="n">
        <f aca="false">-E10*GiaDinh!$H$32</f>
        <v>-3503850</v>
      </c>
      <c r="F15" s="18" t="n">
        <f aca="false">-F10*GiaDinh!$H$32</f>
        <v>-3503850</v>
      </c>
      <c r="G15" s="18" t="n">
        <f aca="false">-G10*GiaDinh!$H$32</f>
        <v>-4671800</v>
      </c>
      <c r="H15" s="18" t="n">
        <f aca="false">-H10*GiaDinh!$H$32</f>
        <v>-4671800</v>
      </c>
      <c r="I15" s="18" t="n">
        <f aca="false">-I10*GiaDinh!$H$32</f>
        <v>-3503850</v>
      </c>
      <c r="J15" s="18" t="n">
        <f aca="false">-J10*GiaDinh!$H$32</f>
        <v>-2002200</v>
      </c>
      <c r="K15" s="16" t="n">
        <f aca="false">SUM(B15:J15)</f>
        <v>-25361200</v>
      </c>
    </row>
    <row r="16" customFormat="false" ht="15" hidden="false" customHeight="false" outlineLevel="0" collapsed="false">
      <c r="A16" s="3" t="s">
        <v>105</v>
      </c>
      <c r="B16" s="18" t="n">
        <f aca="false">-B10*(GiaDinh!$B$18+GiaDinh!$B$19)</f>
        <v>-0</v>
      </c>
      <c r="C16" s="18" t="n">
        <f aca="false">-C10*(GiaDinh!$B$18+GiaDinh!$B$19)</f>
        <v>-147000</v>
      </c>
      <c r="D16" s="18" t="n">
        <f aca="false">-D10*(GiaDinh!$B$18+GiaDinh!$B$19)</f>
        <v>-294000</v>
      </c>
      <c r="E16" s="18" t="n">
        <f aca="false">-E10*(GiaDinh!$B$18+GiaDinh!$B$19)</f>
        <v>-441000</v>
      </c>
      <c r="F16" s="18" t="n">
        <f aca="false">-F10*(GiaDinh!$B$18+GiaDinh!$B$19)</f>
        <v>-441000</v>
      </c>
      <c r="G16" s="18" t="n">
        <f aca="false">-G10*(GiaDinh!$B$18+GiaDinh!$B$19)</f>
        <v>-588000</v>
      </c>
      <c r="H16" s="18" t="n">
        <f aca="false">-H10*(GiaDinh!$B$18+GiaDinh!$B$19)</f>
        <v>-588000</v>
      </c>
      <c r="I16" s="18" t="n">
        <f aca="false">-I10*(GiaDinh!$B$18+GiaDinh!$B$19)</f>
        <v>-441000</v>
      </c>
      <c r="J16" s="18" t="n">
        <f aca="false">-J10*(GiaDinh!$B$18+GiaDinh!$B$19)</f>
        <v>-252000</v>
      </c>
      <c r="K16" s="16" t="n">
        <f aca="false">SUM(B16:J16)</f>
        <v>-3192000</v>
      </c>
    </row>
    <row r="17" customFormat="false" ht="15" hidden="false" customHeight="false" outlineLevel="0" collapsed="false">
      <c r="A17" s="3" t="s">
        <v>77</v>
      </c>
      <c r="B17" s="18" t="n">
        <f aca="false">-B10*GiaDinh!$B$20*GiaDinh!$B$21</f>
        <v>-0</v>
      </c>
      <c r="C17" s="18" t="n">
        <f aca="false">-C10*GiaDinh!$B$20*GiaDinh!$B$21</f>
        <v>-28000</v>
      </c>
      <c r="D17" s="18" t="n">
        <f aca="false">-D10*GiaDinh!$B$20*GiaDinh!$B$21</f>
        <v>-56000</v>
      </c>
      <c r="E17" s="18" t="n">
        <f aca="false">-E10*GiaDinh!$B$20*GiaDinh!$B$21</f>
        <v>-84000</v>
      </c>
      <c r="F17" s="18" t="n">
        <f aca="false">-F10*GiaDinh!$B$20*GiaDinh!$B$21</f>
        <v>-84000</v>
      </c>
      <c r="G17" s="18" t="n">
        <f aca="false">-G10*GiaDinh!$B$20*GiaDinh!$B$21</f>
        <v>-112000</v>
      </c>
      <c r="H17" s="18" t="n">
        <f aca="false">-H10*GiaDinh!$B$20*GiaDinh!$B$21</f>
        <v>-112000</v>
      </c>
      <c r="I17" s="18" t="n">
        <f aca="false">-I10*GiaDinh!$B$20*GiaDinh!$B$21</f>
        <v>-84000</v>
      </c>
      <c r="J17" s="18" t="n">
        <f aca="false">-J10*GiaDinh!$B$20*GiaDinh!$B$21</f>
        <v>-48000</v>
      </c>
      <c r="K17" s="16" t="n">
        <f aca="false">SUM(B17:J17)</f>
        <v>-608000</v>
      </c>
    </row>
    <row r="18" customFormat="false" ht="15" hidden="false" customHeight="false" outlineLevel="0" collapsed="false">
      <c r="A18" s="3" t="s">
        <v>106</v>
      </c>
      <c r="B18" s="18" t="n">
        <f aca="false">-B10*GiaDinh!$B$22</f>
        <v>-0</v>
      </c>
      <c r="C18" s="18" t="n">
        <f aca="false">-C10*GiaDinh!$B$22</f>
        <v>-210000</v>
      </c>
      <c r="D18" s="18" t="n">
        <f aca="false">-D10*GiaDinh!$B$22</f>
        <v>-420000</v>
      </c>
      <c r="E18" s="18" t="n">
        <f aca="false">-E10*GiaDinh!$B$22</f>
        <v>-630000</v>
      </c>
      <c r="F18" s="18" t="n">
        <f aca="false">-F10*GiaDinh!$B$22</f>
        <v>-630000</v>
      </c>
      <c r="G18" s="18" t="n">
        <f aca="false">-G10*GiaDinh!$B$22</f>
        <v>-840000</v>
      </c>
      <c r="H18" s="18" t="n">
        <f aca="false">-H10*GiaDinh!$B$22</f>
        <v>-840000</v>
      </c>
      <c r="I18" s="18" t="n">
        <f aca="false">-I10*GiaDinh!$B$22</f>
        <v>-630000</v>
      </c>
      <c r="J18" s="18" t="n">
        <f aca="false">-J10*GiaDinh!$B$22</f>
        <v>-360000</v>
      </c>
      <c r="K18" s="16" t="n">
        <f aca="false">SUM(B18:J18)</f>
        <v>-4560000</v>
      </c>
    </row>
    <row r="19" customFormat="false" ht="15" hidden="false" customHeight="false" outlineLevel="0" collapsed="false">
      <c r="A19" s="3" t="s">
        <v>107</v>
      </c>
      <c r="B19" s="18" t="n">
        <f aca="false">-B$6</f>
        <v>-800000</v>
      </c>
      <c r="C19" s="18" t="n">
        <f aca="false">-C$6</f>
        <v>-500000</v>
      </c>
      <c r="D19" s="18" t="n">
        <f aca="false">-D$6</f>
        <v>-300000</v>
      </c>
      <c r="E19" s="18" t="n">
        <f aca="false">-E$6</f>
        <v>-300000</v>
      </c>
      <c r="F19" s="18" t="n">
        <f aca="false">-F$6</f>
        <v>-400000</v>
      </c>
      <c r="G19" s="18" t="n">
        <f aca="false">-G$6</f>
        <v>-300000</v>
      </c>
      <c r="H19" s="18" t="n">
        <f aca="false">-H$6</f>
        <v>-300000</v>
      </c>
      <c r="I19" s="18" t="n">
        <f aca="false">-I$6</f>
        <v>-200000</v>
      </c>
      <c r="J19" s="18" t="n">
        <f aca="false">-J$6</f>
        <v>-100000</v>
      </c>
      <c r="K19" s="16" t="n">
        <f aca="false">SUM(B19:J19)</f>
        <v>-3200000</v>
      </c>
    </row>
    <row r="20" customFormat="false" ht="15" hidden="false" customHeight="false" outlineLevel="0" collapsed="false">
      <c r="A20" s="23" t="s">
        <v>108</v>
      </c>
      <c r="B20" s="16" t="n">
        <f aca="false">SUM(B11:B19)</f>
        <v>-800000</v>
      </c>
      <c r="C20" s="16" t="n">
        <f aca="false">SUM(C11:C19)</f>
        <v>193419.9055</v>
      </c>
      <c r="D20" s="16" t="n">
        <f aca="false">SUM(D11:D19)</f>
        <v>1086839.811</v>
      </c>
      <c r="E20" s="16" t="n">
        <f aca="false">SUM(E11:E19)</f>
        <v>1780259.7165</v>
      </c>
      <c r="F20" s="16" t="n">
        <f aca="false">SUM(F11:F19)</f>
        <v>1680259.7165</v>
      </c>
      <c r="G20" s="16" t="n">
        <f aca="false">SUM(G11:G19)</f>
        <v>2473679.622</v>
      </c>
      <c r="H20" s="16" t="n">
        <f aca="false">SUM(H11:H19)</f>
        <v>2473679.622</v>
      </c>
      <c r="I20" s="16" t="n">
        <f aca="false">SUM(I11:I19)</f>
        <v>1880259.7165</v>
      </c>
      <c r="J20" s="16" t="n">
        <f aca="false">SUM(J11:J19)</f>
        <v>1088719.838</v>
      </c>
      <c r="K20" s="16" t="n">
        <f aca="false">SUM(B20:J20)</f>
        <v>11857117.948</v>
      </c>
    </row>
    <row r="21" customFormat="false" ht="15" hidden="false" customHeight="false" outlineLevel="0" collapsed="false">
      <c r="A21" s="3" t="s">
        <v>109</v>
      </c>
      <c r="B21" s="18" t="n">
        <f aca="false">B20</f>
        <v>-800000</v>
      </c>
      <c r="C21" s="18" t="n">
        <f aca="false">C20+B21</f>
        <v>-606580.0945</v>
      </c>
      <c r="D21" s="18" t="n">
        <f aca="false">D20+C21</f>
        <v>480259.7165</v>
      </c>
      <c r="E21" s="18" t="n">
        <f aca="false">E20+D21</f>
        <v>2260519.433</v>
      </c>
      <c r="F21" s="18" t="n">
        <f aca="false">F20+E21</f>
        <v>3940779.1495</v>
      </c>
      <c r="G21" s="18" t="n">
        <f aca="false">G20+F21</f>
        <v>6414458.7715</v>
      </c>
      <c r="H21" s="18" t="n">
        <f aca="false">H20+G21</f>
        <v>8888138.3935</v>
      </c>
      <c r="I21" s="18" t="n">
        <f aca="false">I20+H21</f>
        <v>10768398.11</v>
      </c>
      <c r="J21" s="18" t="n">
        <f aca="false">J20+I21</f>
        <v>11857117.948</v>
      </c>
    </row>
    <row r="22" customFormat="false" ht="15" hidden="false" customHeight="false" outlineLevel="0" collapsed="false">
      <c r="A22" s="3" t="s">
        <v>110</v>
      </c>
      <c r="B22" s="13" t="n">
        <f aca="false">B21/GiaDinh!$B$5</f>
        <v>-0.0266666666666667</v>
      </c>
      <c r="C22" s="13" t="n">
        <f aca="false">C21/GiaDinh!$B$5</f>
        <v>-0.0202193364833333</v>
      </c>
      <c r="D22" s="13" t="n">
        <f aca="false">D21/GiaDinh!$B$5</f>
        <v>0.0160086572166667</v>
      </c>
      <c r="E22" s="13" t="n">
        <f aca="false">E21/GiaDinh!$B$5</f>
        <v>0.0753506477666667</v>
      </c>
      <c r="F22" s="13" t="n">
        <f aca="false">F21/GiaDinh!$B$5</f>
        <v>0.131359304983333</v>
      </c>
      <c r="G22" s="13" t="n">
        <f aca="false">G21/GiaDinh!$B$5</f>
        <v>0.213815292383333</v>
      </c>
      <c r="H22" s="13" t="n">
        <f aca="false">H21/GiaDinh!$B$5</f>
        <v>0.296271279783333</v>
      </c>
      <c r="I22" s="13" t="n">
        <f aca="false">I21/GiaDinh!$B$5</f>
        <v>0.358946603666667</v>
      </c>
      <c r="J22" s="13" t="n">
        <f aca="false">J21/GiaDinh!$B$5</f>
        <v>0.395237264933333</v>
      </c>
    </row>
    <row r="24" customFormat="false" ht="15" hidden="false" customHeight="false" outlineLevel="0" collapsed="false">
      <c r="A24" s="7" t="s">
        <v>111</v>
      </c>
    </row>
    <row r="25" customFormat="false" ht="15" hidden="false" customHeight="false" outlineLevel="0" collapsed="false">
      <c r="A25" s="3" t="s">
        <v>101</v>
      </c>
      <c r="B25" s="21" t="n">
        <v>1</v>
      </c>
      <c r="C25" s="21" t="n">
        <v>2</v>
      </c>
      <c r="D25" s="21" t="n">
        <v>3</v>
      </c>
      <c r="E25" s="21" t="n">
        <v>5</v>
      </c>
      <c r="F25" s="21" t="n">
        <v>6</v>
      </c>
      <c r="G25" s="21" t="n">
        <v>7</v>
      </c>
      <c r="H25" s="21" t="n">
        <v>8</v>
      </c>
      <c r="I25" s="21" t="n">
        <v>6</v>
      </c>
      <c r="J25" s="21" t="n">
        <v>5</v>
      </c>
    </row>
    <row r="26" customFormat="false" ht="15" hidden="false" customHeight="false" outlineLevel="0" collapsed="false">
      <c r="A26" s="3" t="s">
        <v>102</v>
      </c>
      <c r="B26" s="6" t="n">
        <f aca="false">B$5*B25</f>
        <v>7</v>
      </c>
      <c r="C26" s="6" t="n">
        <f aca="false">C$5*C25</f>
        <v>14</v>
      </c>
      <c r="D26" s="6" t="n">
        <f aca="false">D$5*D25</f>
        <v>21</v>
      </c>
      <c r="E26" s="6" t="n">
        <f aca="false">E$5*E25</f>
        <v>35</v>
      </c>
      <c r="F26" s="6" t="n">
        <f aca="false">F$5*F25</f>
        <v>42</v>
      </c>
      <c r="G26" s="6" t="n">
        <f aca="false">G$5*G25</f>
        <v>49</v>
      </c>
      <c r="H26" s="6" t="n">
        <f aca="false">H$5*H25</f>
        <v>56</v>
      </c>
      <c r="I26" s="6" t="n">
        <f aca="false">I$5*I25</f>
        <v>42</v>
      </c>
      <c r="J26" s="6" t="n">
        <f aca="false">J$5*J25</f>
        <v>20</v>
      </c>
      <c r="K26" s="22" t="n">
        <f aca="false">SUM(B26:J26)</f>
        <v>286</v>
      </c>
    </row>
    <row r="27" customFormat="false" ht="15" hidden="false" customHeight="false" outlineLevel="0" collapsed="false">
      <c r="A27" s="3" t="s">
        <v>103</v>
      </c>
      <c r="B27" s="18" t="n">
        <f aca="false">B26*GiaDinh!$D$32</f>
        <v>2583378</v>
      </c>
      <c r="C27" s="18" t="n">
        <f aca="false">C26*GiaDinh!$D$32</f>
        <v>5166756</v>
      </c>
      <c r="D27" s="18" t="n">
        <f aca="false">D26*GiaDinh!$D$32</f>
        <v>7750134</v>
      </c>
      <c r="E27" s="18" t="n">
        <f aca="false">E26*GiaDinh!$D$32</f>
        <v>12916890</v>
      </c>
      <c r="F27" s="18" t="n">
        <f aca="false">F26*GiaDinh!$D$32</f>
        <v>15500268</v>
      </c>
      <c r="G27" s="18" t="n">
        <f aca="false">G26*GiaDinh!$D$32</f>
        <v>18083646</v>
      </c>
      <c r="H27" s="18" t="n">
        <f aca="false">H26*GiaDinh!$D$32</f>
        <v>20667024</v>
      </c>
      <c r="I27" s="18" t="n">
        <f aca="false">I26*GiaDinh!$D$32</f>
        <v>15500268</v>
      </c>
      <c r="J27" s="18" t="n">
        <f aca="false">J26*GiaDinh!$D$32</f>
        <v>7381080</v>
      </c>
      <c r="K27" s="16" t="n">
        <f aca="false">SUM(B27:J27)</f>
        <v>105549444</v>
      </c>
    </row>
    <row r="28" customFormat="false" ht="15" hidden="false" customHeight="false" outlineLevel="0" collapsed="false">
      <c r="A28" s="3" t="s">
        <v>71</v>
      </c>
      <c r="B28" s="18" t="n">
        <f aca="false">-B27*(GiaDinh!$B$15+GiaDinh!$C$15)</f>
        <v>-302255.226</v>
      </c>
      <c r="C28" s="18" t="n">
        <f aca="false">-C27*(GiaDinh!$B$15+GiaDinh!$C$15)</f>
        <v>-604510.452</v>
      </c>
      <c r="D28" s="18" t="n">
        <f aca="false">-D27*(GiaDinh!$B$15+GiaDinh!$C$15)</f>
        <v>-906765.678</v>
      </c>
      <c r="E28" s="18" t="n">
        <f aca="false">-E27*(GiaDinh!$B$15+GiaDinh!$C$15)</f>
        <v>-1511276.13</v>
      </c>
      <c r="F28" s="18" t="n">
        <f aca="false">-F27*(GiaDinh!$B$15+GiaDinh!$C$15)</f>
        <v>-1813531.356</v>
      </c>
      <c r="G28" s="18" t="n">
        <f aca="false">-G27*(GiaDinh!$B$15+GiaDinh!$C$15)</f>
        <v>-2115786.582</v>
      </c>
      <c r="H28" s="18" t="n">
        <f aca="false">-H27*(GiaDinh!$B$15+GiaDinh!$C$15)</f>
        <v>-2418041.808</v>
      </c>
      <c r="I28" s="18" t="n">
        <f aca="false">-I27*(GiaDinh!$B$15+GiaDinh!$C$15)</f>
        <v>-1813531.356</v>
      </c>
      <c r="J28" s="18" t="n">
        <f aca="false">-J27*(GiaDinh!$B$15+GiaDinh!$C$15)</f>
        <v>-863586.36</v>
      </c>
      <c r="K28" s="16" t="n">
        <f aca="false">SUM(B28:J28)</f>
        <v>-12349284.948</v>
      </c>
    </row>
    <row r="29" customFormat="false" ht="15" hidden="false" customHeight="false" outlineLevel="0" collapsed="false">
      <c r="A29" s="3" t="s">
        <v>72</v>
      </c>
      <c r="B29" s="18" t="n">
        <f aca="false">-B27*GiaDinh!$D$15</f>
        <v>-21312.8685</v>
      </c>
      <c r="C29" s="18" t="n">
        <f aca="false">-C27*GiaDinh!$D$15</f>
        <v>-42625.737</v>
      </c>
      <c r="D29" s="18" t="n">
        <f aca="false">-D27*GiaDinh!$D$15</f>
        <v>-63938.6055</v>
      </c>
      <c r="E29" s="18" t="n">
        <f aca="false">-E27*GiaDinh!$D$15</f>
        <v>-106564.3425</v>
      </c>
      <c r="F29" s="18" t="n">
        <f aca="false">-F27*GiaDinh!$D$15</f>
        <v>-127877.211</v>
      </c>
      <c r="G29" s="18" t="n">
        <f aca="false">-G27*GiaDinh!$D$15</f>
        <v>-149190.0795</v>
      </c>
      <c r="H29" s="18" t="n">
        <f aca="false">-H27*GiaDinh!$D$15</f>
        <v>-170502.948</v>
      </c>
      <c r="I29" s="18" t="n">
        <f aca="false">-I27*GiaDinh!$D$15</f>
        <v>-127877.211</v>
      </c>
      <c r="J29" s="18" t="n">
        <f aca="false">-J27*GiaDinh!$D$15</f>
        <v>-60893.91</v>
      </c>
      <c r="K29" s="16" t="n">
        <f aca="false">SUM(B29:J29)</f>
        <v>-870782.913</v>
      </c>
    </row>
    <row r="30" customFormat="false" ht="15" hidden="false" customHeight="false" outlineLevel="0" collapsed="false">
      <c r="A30" s="3" t="s">
        <v>74</v>
      </c>
      <c r="B30" s="18" t="n">
        <f aca="false">-B26*GiaDinh!$F$15</f>
        <v>-13440</v>
      </c>
      <c r="C30" s="18" t="n">
        <f aca="false">-C26*GiaDinh!$F$15</f>
        <v>-26880</v>
      </c>
      <c r="D30" s="18" t="n">
        <f aca="false">-D26*GiaDinh!$F$15</f>
        <v>-40320</v>
      </c>
      <c r="E30" s="18" t="n">
        <f aca="false">-E26*GiaDinh!$F$15</f>
        <v>-67200</v>
      </c>
      <c r="F30" s="18" t="n">
        <f aca="false">-F26*GiaDinh!$F$15</f>
        <v>-80640</v>
      </c>
      <c r="G30" s="18" t="n">
        <f aca="false">-G26*GiaDinh!$F$15</f>
        <v>-94080</v>
      </c>
      <c r="H30" s="18" t="n">
        <f aca="false">-H26*GiaDinh!$F$15</f>
        <v>-107520</v>
      </c>
      <c r="I30" s="18" t="n">
        <f aca="false">-I26*GiaDinh!$F$15</f>
        <v>-80640</v>
      </c>
      <c r="J30" s="18" t="n">
        <f aca="false">-J26*GiaDinh!$F$15</f>
        <v>-38400</v>
      </c>
      <c r="K30" s="16" t="n">
        <f aca="false">SUM(B30:J30)</f>
        <v>-549120</v>
      </c>
    </row>
    <row r="31" customFormat="false" ht="15" hidden="false" customHeight="false" outlineLevel="0" collapsed="false">
      <c r="A31" s="3" t="s">
        <v>104</v>
      </c>
      <c r="B31" s="18" t="n">
        <f aca="false">-B26*GiaDinh!$H$32</f>
        <v>-1167950</v>
      </c>
      <c r="C31" s="18" t="n">
        <f aca="false">-C26*GiaDinh!$H$32</f>
        <v>-2335900</v>
      </c>
      <c r="D31" s="18" t="n">
        <f aca="false">-D26*GiaDinh!$H$32</f>
        <v>-3503850</v>
      </c>
      <c r="E31" s="18" t="n">
        <f aca="false">-E26*GiaDinh!$H$32</f>
        <v>-5839750</v>
      </c>
      <c r="F31" s="18" t="n">
        <f aca="false">-F26*GiaDinh!$H$32</f>
        <v>-7007700</v>
      </c>
      <c r="G31" s="18" t="n">
        <f aca="false">-G26*GiaDinh!$H$32</f>
        <v>-8175650</v>
      </c>
      <c r="H31" s="18" t="n">
        <f aca="false">-H26*GiaDinh!$H$32</f>
        <v>-9343600</v>
      </c>
      <c r="I31" s="18" t="n">
        <f aca="false">-I26*GiaDinh!$H$32</f>
        <v>-7007700</v>
      </c>
      <c r="J31" s="18" t="n">
        <f aca="false">-J26*GiaDinh!$H$32</f>
        <v>-3337000</v>
      </c>
      <c r="K31" s="16" t="n">
        <f aca="false">SUM(B31:J31)</f>
        <v>-47719100</v>
      </c>
    </row>
    <row r="32" customFormat="false" ht="15" hidden="false" customHeight="false" outlineLevel="0" collapsed="false">
      <c r="A32" s="3" t="s">
        <v>105</v>
      </c>
      <c r="B32" s="18" t="n">
        <f aca="false">-B26*(GiaDinh!$B$18+GiaDinh!$B$19)</f>
        <v>-147000</v>
      </c>
      <c r="C32" s="18" t="n">
        <f aca="false">-C26*(GiaDinh!$B$18+GiaDinh!$B$19)</f>
        <v>-294000</v>
      </c>
      <c r="D32" s="18" t="n">
        <f aca="false">-D26*(GiaDinh!$B$18+GiaDinh!$B$19)</f>
        <v>-441000</v>
      </c>
      <c r="E32" s="18" t="n">
        <f aca="false">-E26*(GiaDinh!$B$18+GiaDinh!$B$19)</f>
        <v>-735000</v>
      </c>
      <c r="F32" s="18" t="n">
        <f aca="false">-F26*(GiaDinh!$B$18+GiaDinh!$B$19)</f>
        <v>-882000</v>
      </c>
      <c r="G32" s="18" t="n">
        <f aca="false">-G26*(GiaDinh!$B$18+GiaDinh!$B$19)</f>
        <v>-1029000</v>
      </c>
      <c r="H32" s="18" t="n">
        <f aca="false">-H26*(GiaDinh!$B$18+GiaDinh!$B$19)</f>
        <v>-1176000</v>
      </c>
      <c r="I32" s="18" t="n">
        <f aca="false">-I26*(GiaDinh!$B$18+GiaDinh!$B$19)</f>
        <v>-882000</v>
      </c>
      <c r="J32" s="18" t="n">
        <f aca="false">-J26*(GiaDinh!$B$18+GiaDinh!$B$19)</f>
        <v>-420000</v>
      </c>
      <c r="K32" s="16" t="n">
        <f aca="false">SUM(B32:J32)</f>
        <v>-6006000</v>
      </c>
    </row>
    <row r="33" customFormat="false" ht="15" hidden="false" customHeight="false" outlineLevel="0" collapsed="false">
      <c r="A33" s="3" t="s">
        <v>77</v>
      </c>
      <c r="B33" s="18" t="n">
        <f aca="false">-B26*GiaDinh!$B$20*GiaDinh!$B$21</f>
        <v>-28000</v>
      </c>
      <c r="C33" s="18" t="n">
        <f aca="false">-C26*GiaDinh!$B$20*GiaDinh!$B$21</f>
        <v>-56000</v>
      </c>
      <c r="D33" s="18" t="n">
        <f aca="false">-D26*GiaDinh!$B$20*GiaDinh!$B$21</f>
        <v>-84000</v>
      </c>
      <c r="E33" s="18" t="n">
        <f aca="false">-E26*GiaDinh!$B$20*GiaDinh!$B$21</f>
        <v>-140000</v>
      </c>
      <c r="F33" s="18" t="n">
        <f aca="false">-F26*GiaDinh!$B$20*GiaDinh!$B$21</f>
        <v>-168000</v>
      </c>
      <c r="G33" s="18" t="n">
        <f aca="false">-G26*GiaDinh!$B$20*GiaDinh!$B$21</f>
        <v>-196000</v>
      </c>
      <c r="H33" s="18" t="n">
        <f aca="false">-H26*GiaDinh!$B$20*GiaDinh!$B$21</f>
        <v>-224000</v>
      </c>
      <c r="I33" s="18" t="n">
        <f aca="false">-I26*GiaDinh!$B$20*GiaDinh!$B$21</f>
        <v>-168000</v>
      </c>
      <c r="J33" s="18" t="n">
        <f aca="false">-J26*GiaDinh!$B$20*GiaDinh!$B$21</f>
        <v>-80000</v>
      </c>
      <c r="K33" s="16" t="n">
        <f aca="false">SUM(B33:J33)</f>
        <v>-1144000</v>
      </c>
    </row>
    <row r="34" customFormat="false" ht="15" hidden="false" customHeight="false" outlineLevel="0" collapsed="false">
      <c r="A34" s="3" t="s">
        <v>106</v>
      </c>
      <c r="B34" s="18" t="n">
        <f aca="false">-B26*GiaDinh!$B$22</f>
        <v>-210000</v>
      </c>
      <c r="C34" s="18" t="n">
        <f aca="false">-C26*GiaDinh!$B$22</f>
        <v>-420000</v>
      </c>
      <c r="D34" s="18" t="n">
        <f aca="false">-D26*GiaDinh!$B$22</f>
        <v>-630000</v>
      </c>
      <c r="E34" s="18" t="n">
        <f aca="false">-E26*GiaDinh!$B$22</f>
        <v>-1050000</v>
      </c>
      <c r="F34" s="18" t="n">
        <f aca="false">-F26*GiaDinh!$B$22</f>
        <v>-1260000</v>
      </c>
      <c r="G34" s="18" t="n">
        <f aca="false">-G26*GiaDinh!$B$22</f>
        <v>-1470000</v>
      </c>
      <c r="H34" s="18" t="n">
        <f aca="false">-H26*GiaDinh!$B$22</f>
        <v>-1680000</v>
      </c>
      <c r="I34" s="18" t="n">
        <f aca="false">-I26*GiaDinh!$B$22</f>
        <v>-1260000</v>
      </c>
      <c r="J34" s="18" t="n">
        <f aca="false">-J26*GiaDinh!$B$22</f>
        <v>-600000</v>
      </c>
      <c r="K34" s="16" t="n">
        <f aca="false">SUM(B34:J34)</f>
        <v>-8580000</v>
      </c>
    </row>
    <row r="35" customFormat="false" ht="15" hidden="false" customHeight="false" outlineLevel="0" collapsed="false">
      <c r="A35" s="3" t="s">
        <v>107</v>
      </c>
      <c r="B35" s="18" t="n">
        <f aca="false">-B$6</f>
        <v>-800000</v>
      </c>
      <c r="C35" s="18" t="n">
        <f aca="false">-C$6</f>
        <v>-500000</v>
      </c>
      <c r="D35" s="18" t="n">
        <f aca="false">-D$6</f>
        <v>-300000</v>
      </c>
      <c r="E35" s="18" t="n">
        <f aca="false">-E$6</f>
        <v>-300000</v>
      </c>
      <c r="F35" s="18" t="n">
        <f aca="false">-F$6</f>
        <v>-400000</v>
      </c>
      <c r="G35" s="18" t="n">
        <f aca="false">-G$6</f>
        <v>-300000</v>
      </c>
      <c r="H35" s="18" t="n">
        <f aca="false">-H$6</f>
        <v>-300000</v>
      </c>
      <c r="I35" s="18" t="n">
        <f aca="false">-I$6</f>
        <v>-200000</v>
      </c>
      <c r="J35" s="18" t="n">
        <f aca="false">-J$6</f>
        <v>-100000</v>
      </c>
      <c r="K35" s="16" t="n">
        <f aca="false">SUM(B35:J35)</f>
        <v>-3200000</v>
      </c>
    </row>
    <row r="36" customFormat="false" ht="15" hidden="false" customHeight="false" outlineLevel="0" collapsed="false">
      <c r="A36" s="23" t="s">
        <v>108</v>
      </c>
      <c r="B36" s="16" t="n">
        <f aca="false">SUM(B27:B35)</f>
        <v>-106580.0945</v>
      </c>
      <c r="C36" s="16" t="n">
        <f aca="false">SUM(C27:C35)</f>
        <v>886839.811</v>
      </c>
      <c r="D36" s="16" t="n">
        <f aca="false">SUM(D27:D35)</f>
        <v>1780259.7165</v>
      </c>
      <c r="E36" s="16" t="n">
        <f aca="false">SUM(E27:E35)</f>
        <v>3167099.5275</v>
      </c>
      <c r="F36" s="16" t="n">
        <f aca="false">SUM(F27:F35)</f>
        <v>3760519.433</v>
      </c>
      <c r="G36" s="16" t="n">
        <f aca="false">SUM(G27:G35)</f>
        <v>4553939.3385</v>
      </c>
      <c r="H36" s="16" t="n">
        <f aca="false">SUM(H27:H35)</f>
        <v>5247359.244</v>
      </c>
      <c r="I36" s="16" t="n">
        <f aca="false">SUM(I27:I35)</f>
        <v>3960519.433</v>
      </c>
      <c r="J36" s="16" t="n">
        <f aca="false">SUM(J27:J35)</f>
        <v>1881199.73</v>
      </c>
      <c r="K36" s="16" t="n">
        <f aca="false">SUM(B36:J36)</f>
        <v>25131156.139</v>
      </c>
    </row>
    <row r="37" customFormat="false" ht="15" hidden="false" customHeight="false" outlineLevel="0" collapsed="false">
      <c r="A37" s="3" t="s">
        <v>109</v>
      </c>
      <c r="B37" s="18" t="n">
        <f aca="false">B36</f>
        <v>-106580.0945</v>
      </c>
      <c r="C37" s="18" t="n">
        <f aca="false">C36+B37</f>
        <v>780259.7165</v>
      </c>
      <c r="D37" s="18" t="n">
        <f aca="false">D36+C37</f>
        <v>2560519.433</v>
      </c>
      <c r="E37" s="18" t="n">
        <f aca="false">E36+D37</f>
        <v>5727618.9605</v>
      </c>
      <c r="F37" s="18" t="n">
        <f aca="false">F36+E37</f>
        <v>9488138.3935</v>
      </c>
      <c r="G37" s="18" t="n">
        <f aca="false">G36+F37</f>
        <v>14042077.732</v>
      </c>
      <c r="H37" s="18" t="n">
        <f aca="false">H36+G37</f>
        <v>19289436.976</v>
      </c>
      <c r="I37" s="18" t="n">
        <f aca="false">I36+H37</f>
        <v>23249956.409</v>
      </c>
      <c r="J37" s="18" t="n">
        <f aca="false">J36+I37</f>
        <v>25131156.139</v>
      </c>
    </row>
    <row r="38" customFormat="false" ht="15" hidden="false" customHeight="false" outlineLevel="0" collapsed="false">
      <c r="A38" s="3" t="s">
        <v>110</v>
      </c>
      <c r="B38" s="13" t="n">
        <f aca="false">B37/GiaDinh!$B$5</f>
        <v>-0.00355266981666667</v>
      </c>
      <c r="C38" s="13" t="n">
        <f aca="false">C37/GiaDinh!$B$5</f>
        <v>0.0260086572166667</v>
      </c>
      <c r="D38" s="13" t="n">
        <f aca="false">D37/GiaDinh!$B$5</f>
        <v>0.0853506477666667</v>
      </c>
      <c r="E38" s="13" t="n">
        <f aca="false">E37/GiaDinh!$B$5</f>
        <v>0.190920632016667</v>
      </c>
      <c r="F38" s="13" t="n">
        <f aca="false">F37/GiaDinh!$B$5</f>
        <v>0.316271279783333</v>
      </c>
      <c r="G38" s="13" t="n">
        <f aca="false">G37/GiaDinh!$B$5</f>
        <v>0.468069257733333</v>
      </c>
      <c r="H38" s="13" t="n">
        <f aca="false">H37/GiaDinh!$B$5</f>
        <v>0.642981232533333</v>
      </c>
      <c r="I38" s="13" t="n">
        <f aca="false">I37/GiaDinh!$B$5</f>
        <v>0.774998546966667</v>
      </c>
      <c r="J38" s="13" t="n">
        <f aca="false">J37/GiaDinh!$B$5</f>
        <v>0.837705204633333</v>
      </c>
    </row>
    <row r="40" customFormat="false" ht="15" hidden="false" customHeight="false" outlineLevel="0" collapsed="false">
      <c r="A40" s="7" t="s">
        <v>112</v>
      </c>
    </row>
    <row r="41" customFormat="false" ht="15" hidden="false" customHeight="false" outlineLevel="0" collapsed="false">
      <c r="A41" s="3" t="s">
        <v>101</v>
      </c>
      <c r="B41" s="21" t="n">
        <v>3</v>
      </c>
      <c r="C41" s="21" t="n">
        <v>5</v>
      </c>
      <c r="D41" s="21" t="n">
        <v>6</v>
      </c>
      <c r="E41" s="21" t="n">
        <v>8</v>
      </c>
      <c r="F41" s="21" t="n">
        <v>10</v>
      </c>
      <c r="G41" s="21" t="n">
        <v>12</v>
      </c>
      <c r="H41" s="21" t="n">
        <v>13</v>
      </c>
      <c r="I41" s="21" t="n">
        <v>9</v>
      </c>
      <c r="J41" s="21" t="n">
        <v>8</v>
      </c>
    </row>
    <row r="42" customFormat="false" ht="15" hidden="false" customHeight="false" outlineLevel="0" collapsed="false">
      <c r="A42" s="3" t="s">
        <v>102</v>
      </c>
      <c r="B42" s="6" t="n">
        <f aca="false">B$5*B41</f>
        <v>21</v>
      </c>
      <c r="C42" s="6" t="n">
        <f aca="false">C$5*C41</f>
        <v>35</v>
      </c>
      <c r="D42" s="6" t="n">
        <f aca="false">D$5*D41</f>
        <v>42</v>
      </c>
      <c r="E42" s="6" t="n">
        <f aca="false">E$5*E41</f>
        <v>56</v>
      </c>
      <c r="F42" s="6" t="n">
        <f aca="false">F$5*F41</f>
        <v>70</v>
      </c>
      <c r="G42" s="6" t="n">
        <f aca="false">G$5*G41</f>
        <v>84</v>
      </c>
      <c r="H42" s="6" t="n">
        <f aca="false">H$5*H41</f>
        <v>91</v>
      </c>
      <c r="I42" s="6" t="n">
        <f aca="false">I$5*I41</f>
        <v>63</v>
      </c>
      <c r="J42" s="6" t="n">
        <f aca="false">J$5*J41</f>
        <v>32</v>
      </c>
      <c r="K42" s="22" t="n">
        <f aca="false">SUM(B42:J42)</f>
        <v>494</v>
      </c>
    </row>
    <row r="43" customFormat="false" ht="15" hidden="false" customHeight="false" outlineLevel="0" collapsed="false">
      <c r="A43" s="3" t="s">
        <v>103</v>
      </c>
      <c r="B43" s="18" t="n">
        <f aca="false">B42*GiaDinh!$D$32</f>
        <v>7750134</v>
      </c>
      <c r="C43" s="18" t="n">
        <f aca="false">C42*GiaDinh!$D$32</f>
        <v>12916890</v>
      </c>
      <c r="D43" s="18" t="n">
        <f aca="false">D42*GiaDinh!$D$32</f>
        <v>15500268</v>
      </c>
      <c r="E43" s="18" t="n">
        <f aca="false">E42*GiaDinh!$D$32</f>
        <v>20667024</v>
      </c>
      <c r="F43" s="18" t="n">
        <f aca="false">F42*GiaDinh!$D$32</f>
        <v>25833780</v>
      </c>
      <c r="G43" s="18" t="n">
        <f aca="false">G42*GiaDinh!$D$32</f>
        <v>31000536</v>
      </c>
      <c r="H43" s="18" t="n">
        <f aca="false">H42*GiaDinh!$D$32</f>
        <v>33583914</v>
      </c>
      <c r="I43" s="18" t="n">
        <f aca="false">I42*GiaDinh!$D$32</f>
        <v>23250402</v>
      </c>
      <c r="J43" s="18" t="n">
        <f aca="false">J42*GiaDinh!$D$32</f>
        <v>11809728</v>
      </c>
      <c r="K43" s="16" t="n">
        <f aca="false">SUM(B43:J43)</f>
        <v>182312676</v>
      </c>
    </row>
    <row r="44" customFormat="false" ht="15" hidden="false" customHeight="false" outlineLevel="0" collapsed="false">
      <c r="A44" s="3" t="s">
        <v>71</v>
      </c>
      <c r="B44" s="18" t="n">
        <f aca="false">-B43*(GiaDinh!$B$15+GiaDinh!$C$15)</f>
        <v>-906765.678</v>
      </c>
      <c r="C44" s="18" t="n">
        <f aca="false">-C43*(GiaDinh!$B$15+GiaDinh!$C$15)</f>
        <v>-1511276.13</v>
      </c>
      <c r="D44" s="18" t="n">
        <f aca="false">-D43*(GiaDinh!$B$15+GiaDinh!$C$15)</f>
        <v>-1813531.356</v>
      </c>
      <c r="E44" s="18" t="n">
        <f aca="false">-E43*(GiaDinh!$B$15+GiaDinh!$C$15)</f>
        <v>-2418041.808</v>
      </c>
      <c r="F44" s="18" t="n">
        <f aca="false">-F43*(GiaDinh!$B$15+GiaDinh!$C$15)</f>
        <v>-3022552.26</v>
      </c>
      <c r="G44" s="18" t="n">
        <f aca="false">-G43*(GiaDinh!$B$15+GiaDinh!$C$15)</f>
        <v>-3627062.712</v>
      </c>
      <c r="H44" s="18" t="n">
        <f aca="false">-H43*(GiaDinh!$B$15+GiaDinh!$C$15)</f>
        <v>-3929317.938</v>
      </c>
      <c r="I44" s="18" t="n">
        <f aca="false">-I43*(GiaDinh!$B$15+GiaDinh!$C$15)</f>
        <v>-2720297.034</v>
      </c>
      <c r="J44" s="18" t="n">
        <f aca="false">-J43*(GiaDinh!$B$15+GiaDinh!$C$15)</f>
        <v>-1381738.176</v>
      </c>
      <c r="K44" s="16" t="n">
        <f aca="false">SUM(B44:J44)</f>
        <v>-21330583.092</v>
      </c>
    </row>
    <row r="45" customFormat="false" ht="15" hidden="false" customHeight="false" outlineLevel="0" collapsed="false">
      <c r="A45" s="3" t="s">
        <v>72</v>
      </c>
      <c r="B45" s="18" t="n">
        <f aca="false">-B43*GiaDinh!$D$15</f>
        <v>-63938.6055</v>
      </c>
      <c r="C45" s="18" t="n">
        <f aca="false">-C43*GiaDinh!$D$15</f>
        <v>-106564.3425</v>
      </c>
      <c r="D45" s="18" t="n">
        <f aca="false">-D43*GiaDinh!$D$15</f>
        <v>-127877.211</v>
      </c>
      <c r="E45" s="18" t="n">
        <f aca="false">-E43*GiaDinh!$D$15</f>
        <v>-170502.948</v>
      </c>
      <c r="F45" s="18" t="n">
        <f aca="false">-F43*GiaDinh!$D$15</f>
        <v>-213128.685</v>
      </c>
      <c r="G45" s="18" t="n">
        <f aca="false">-G43*GiaDinh!$D$15</f>
        <v>-255754.422</v>
      </c>
      <c r="H45" s="18" t="n">
        <f aca="false">-H43*GiaDinh!$D$15</f>
        <v>-277067.2905</v>
      </c>
      <c r="I45" s="18" t="n">
        <f aca="false">-I43*GiaDinh!$D$15</f>
        <v>-191815.8165</v>
      </c>
      <c r="J45" s="18" t="n">
        <f aca="false">-J43*GiaDinh!$D$15</f>
        <v>-97430.256</v>
      </c>
      <c r="K45" s="16" t="n">
        <f aca="false">SUM(B45:J45)</f>
        <v>-1504079.577</v>
      </c>
    </row>
    <row r="46" customFormat="false" ht="15" hidden="false" customHeight="false" outlineLevel="0" collapsed="false">
      <c r="A46" s="3" t="s">
        <v>74</v>
      </c>
      <c r="B46" s="18" t="n">
        <f aca="false">-B42*GiaDinh!$F$15</f>
        <v>-40320</v>
      </c>
      <c r="C46" s="18" t="n">
        <f aca="false">-C42*GiaDinh!$F$15</f>
        <v>-67200</v>
      </c>
      <c r="D46" s="18" t="n">
        <f aca="false">-D42*GiaDinh!$F$15</f>
        <v>-80640</v>
      </c>
      <c r="E46" s="18" t="n">
        <f aca="false">-E42*GiaDinh!$F$15</f>
        <v>-107520</v>
      </c>
      <c r="F46" s="18" t="n">
        <f aca="false">-F42*GiaDinh!$F$15</f>
        <v>-134400</v>
      </c>
      <c r="G46" s="18" t="n">
        <f aca="false">-G42*GiaDinh!$F$15</f>
        <v>-161280</v>
      </c>
      <c r="H46" s="18" t="n">
        <f aca="false">-H42*GiaDinh!$F$15</f>
        <v>-174720</v>
      </c>
      <c r="I46" s="18" t="n">
        <f aca="false">-I42*GiaDinh!$F$15</f>
        <v>-120960</v>
      </c>
      <c r="J46" s="18" t="n">
        <f aca="false">-J42*GiaDinh!$F$15</f>
        <v>-61440</v>
      </c>
      <c r="K46" s="16" t="n">
        <f aca="false">SUM(B46:J46)</f>
        <v>-948480</v>
      </c>
    </row>
    <row r="47" customFormat="false" ht="15" hidden="false" customHeight="false" outlineLevel="0" collapsed="false">
      <c r="A47" s="3" t="s">
        <v>104</v>
      </c>
      <c r="B47" s="18" t="n">
        <f aca="false">-B42*GiaDinh!$H$32</f>
        <v>-3503850</v>
      </c>
      <c r="C47" s="18" t="n">
        <f aca="false">-C42*GiaDinh!$H$32</f>
        <v>-5839750</v>
      </c>
      <c r="D47" s="18" t="n">
        <f aca="false">-D42*GiaDinh!$H$32</f>
        <v>-7007700</v>
      </c>
      <c r="E47" s="18" t="n">
        <f aca="false">-E42*GiaDinh!$H$32</f>
        <v>-9343600</v>
      </c>
      <c r="F47" s="18" t="n">
        <f aca="false">-F42*GiaDinh!$H$32</f>
        <v>-11679500</v>
      </c>
      <c r="G47" s="18" t="n">
        <f aca="false">-G42*GiaDinh!$H$32</f>
        <v>-14015400</v>
      </c>
      <c r="H47" s="18" t="n">
        <f aca="false">-H42*GiaDinh!$H$32</f>
        <v>-15183350</v>
      </c>
      <c r="I47" s="18" t="n">
        <f aca="false">-I42*GiaDinh!$H$32</f>
        <v>-10511550</v>
      </c>
      <c r="J47" s="18" t="n">
        <f aca="false">-J42*GiaDinh!$H$32</f>
        <v>-5339200</v>
      </c>
      <c r="K47" s="16" t="n">
        <f aca="false">SUM(B47:J47)</f>
        <v>-82423900</v>
      </c>
    </row>
    <row r="48" customFormat="false" ht="15" hidden="false" customHeight="false" outlineLevel="0" collapsed="false">
      <c r="A48" s="3" t="s">
        <v>105</v>
      </c>
      <c r="B48" s="18" t="n">
        <f aca="false">-B42*(GiaDinh!$B$18+GiaDinh!$B$19)</f>
        <v>-441000</v>
      </c>
      <c r="C48" s="18" t="n">
        <f aca="false">-C42*(GiaDinh!$B$18+GiaDinh!$B$19)</f>
        <v>-735000</v>
      </c>
      <c r="D48" s="18" t="n">
        <f aca="false">-D42*(GiaDinh!$B$18+GiaDinh!$B$19)</f>
        <v>-882000</v>
      </c>
      <c r="E48" s="18" t="n">
        <f aca="false">-E42*(GiaDinh!$B$18+GiaDinh!$B$19)</f>
        <v>-1176000</v>
      </c>
      <c r="F48" s="18" t="n">
        <f aca="false">-F42*(GiaDinh!$B$18+GiaDinh!$B$19)</f>
        <v>-1470000</v>
      </c>
      <c r="G48" s="18" t="n">
        <f aca="false">-G42*(GiaDinh!$B$18+GiaDinh!$B$19)</f>
        <v>-1764000</v>
      </c>
      <c r="H48" s="18" t="n">
        <f aca="false">-H42*(GiaDinh!$B$18+GiaDinh!$B$19)</f>
        <v>-1911000</v>
      </c>
      <c r="I48" s="18" t="n">
        <f aca="false">-I42*(GiaDinh!$B$18+GiaDinh!$B$19)</f>
        <v>-1323000</v>
      </c>
      <c r="J48" s="18" t="n">
        <f aca="false">-J42*(GiaDinh!$B$18+GiaDinh!$B$19)</f>
        <v>-672000</v>
      </c>
      <c r="K48" s="16" t="n">
        <f aca="false">SUM(B48:J48)</f>
        <v>-10374000</v>
      </c>
    </row>
    <row r="49" customFormat="false" ht="15" hidden="false" customHeight="false" outlineLevel="0" collapsed="false">
      <c r="A49" s="3" t="s">
        <v>77</v>
      </c>
      <c r="B49" s="18" t="n">
        <f aca="false">-B42*GiaDinh!$B$20*GiaDinh!$B$21</f>
        <v>-84000</v>
      </c>
      <c r="C49" s="18" t="n">
        <f aca="false">-C42*GiaDinh!$B$20*GiaDinh!$B$21</f>
        <v>-140000</v>
      </c>
      <c r="D49" s="18" t="n">
        <f aca="false">-D42*GiaDinh!$B$20*GiaDinh!$B$21</f>
        <v>-168000</v>
      </c>
      <c r="E49" s="18" t="n">
        <f aca="false">-E42*GiaDinh!$B$20*GiaDinh!$B$21</f>
        <v>-224000</v>
      </c>
      <c r="F49" s="18" t="n">
        <f aca="false">-F42*GiaDinh!$B$20*GiaDinh!$B$21</f>
        <v>-280000</v>
      </c>
      <c r="G49" s="18" t="n">
        <f aca="false">-G42*GiaDinh!$B$20*GiaDinh!$B$21</f>
        <v>-336000</v>
      </c>
      <c r="H49" s="18" t="n">
        <f aca="false">-H42*GiaDinh!$B$20*GiaDinh!$B$21</f>
        <v>-364000</v>
      </c>
      <c r="I49" s="18" t="n">
        <f aca="false">-I42*GiaDinh!$B$20*GiaDinh!$B$21</f>
        <v>-252000</v>
      </c>
      <c r="J49" s="18" t="n">
        <f aca="false">-J42*GiaDinh!$B$20*GiaDinh!$B$21</f>
        <v>-128000</v>
      </c>
      <c r="K49" s="16" t="n">
        <f aca="false">SUM(B49:J49)</f>
        <v>-1976000</v>
      </c>
    </row>
    <row r="50" customFormat="false" ht="15" hidden="false" customHeight="false" outlineLevel="0" collapsed="false">
      <c r="A50" s="3" t="s">
        <v>106</v>
      </c>
      <c r="B50" s="18" t="n">
        <f aca="false">-B42*GiaDinh!$B$22</f>
        <v>-630000</v>
      </c>
      <c r="C50" s="18" t="n">
        <f aca="false">-C42*GiaDinh!$B$22</f>
        <v>-1050000</v>
      </c>
      <c r="D50" s="18" t="n">
        <f aca="false">-D42*GiaDinh!$B$22</f>
        <v>-1260000</v>
      </c>
      <c r="E50" s="18" t="n">
        <f aca="false">-E42*GiaDinh!$B$22</f>
        <v>-1680000</v>
      </c>
      <c r="F50" s="18" t="n">
        <f aca="false">-F42*GiaDinh!$B$22</f>
        <v>-2100000</v>
      </c>
      <c r="G50" s="18" t="n">
        <f aca="false">-G42*GiaDinh!$B$22</f>
        <v>-2520000</v>
      </c>
      <c r="H50" s="18" t="n">
        <f aca="false">-H42*GiaDinh!$B$22</f>
        <v>-2730000</v>
      </c>
      <c r="I50" s="18" t="n">
        <f aca="false">-I42*GiaDinh!$B$22</f>
        <v>-1890000</v>
      </c>
      <c r="J50" s="18" t="n">
        <f aca="false">-J42*GiaDinh!$B$22</f>
        <v>-960000</v>
      </c>
      <c r="K50" s="16" t="n">
        <f aca="false">SUM(B50:J50)</f>
        <v>-14820000</v>
      </c>
    </row>
    <row r="51" customFormat="false" ht="15" hidden="false" customHeight="false" outlineLevel="0" collapsed="false">
      <c r="A51" s="3" t="s">
        <v>107</v>
      </c>
      <c r="B51" s="18" t="n">
        <f aca="false">-B$6</f>
        <v>-800000</v>
      </c>
      <c r="C51" s="18" t="n">
        <f aca="false">-C$6</f>
        <v>-500000</v>
      </c>
      <c r="D51" s="18" t="n">
        <f aca="false">-D$6</f>
        <v>-300000</v>
      </c>
      <c r="E51" s="18" t="n">
        <f aca="false">-E$6</f>
        <v>-300000</v>
      </c>
      <c r="F51" s="18" t="n">
        <f aca="false">-F$6</f>
        <v>-400000</v>
      </c>
      <c r="G51" s="18" t="n">
        <f aca="false">-G$6</f>
        <v>-300000</v>
      </c>
      <c r="H51" s="18" t="n">
        <f aca="false">-H$6</f>
        <v>-300000</v>
      </c>
      <c r="I51" s="18" t="n">
        <f aca="false">-I$6</f>
        <v>-200000</v>
      </c>
      <c r="J51" s="18" t="n">
        <f aca="false">-J$6</f>
        <v>-100000</v>
      </c>
      <c r="K51" s="16" t="n">
        <f aca="false">SUM(B51:J51)</f>
        <v>-3200000</v>
      </c>
    </row>
    <row r="52" customFormat="false" ht="15" hidden="false" customHeight="false" outlineLevel="0" collapsed="false">
      <c r="A52" s="23" t="s">
        <v>108</v>
      </c>
      <c r="B52" s="16" t="n">
        <f aca="false">SUM(B43:B51)</f>
        <v>1280259.7165</v>
      </c>
      <c r="C52" s="16" t="n">
        <f aca="false">SUM(C43:C51)</f>
        <v>2967099.5275</v>
      </c>
      <c r="D52" s="16" t="n">
        <f aca="false">SUM(D43:D51)</f>
        <v>3860519.433</v>
      </c>
      <c r="E52" s="16" t="n">
        <f aca="false">SUM(E43:E51)</f>
        <v>5247359.244</v>
      </c>
      <c r="F52" s="16" t="n">
        <f aca="false">SUM(F43:F51)</f>
        <v>6534199.055</v>
      </c>
      <c r="G52" s="16" t="n">
        <f aca="false">SUM(G43:G51)</f>
        <v>8021038.866</v>
      </c>
      <c r="H52" s="16" t="n">
        <f aca="false">SUM(H43:H51)</f>
        <v>8714458.7715</v>
      </c>
      <c r="I52" s="16" t="n">
        <f aca="false">SUM(I43:I51)</f>
        <v>6040779.1495</v>
      </c>
      <c r="J52" s="16" t="n">
        <f aca="false">SUM(J43:J51)</f>
        <v>3069919.568</v>
      </c>
      <c r="K52" s="16" t="n">
        <f aca="false">SUM(B52:J52)</f>
        <v>45735633.331</v>
      </c>
    </row>
    <row r="53" customFormat="false" ht="15" hidden="false" customHeight="false" outlineLevel="0" collapsed="false">
      <c r="A53" s="3" t="s">
        <v>109</v>
      </c>
      <c r="B53" s="18" t="n">
        <f aca="false">B52</f>
        <v>1280259.7165</v>
      </c>
      <c r="C53" s="18" t="n">
        <f aca="false">C52+B53</f>
        <v>4247359.244</v>
      </c>
      <c r="D53" s="18" t="n">
        <f aca="false">D52+C53</f>
        <v>8107878.677</v>
      </c>
      <c r="E53" s="18" t="n">
        <f aca="false">E52+D53</f>
        <v>13355237.921</v>
      </c>
      <c r="F53" s="18" t="n">
        <f aca="false">F52+E53</f>
        <v>19889436.976</v>
      </c>
      <c r="G53" s="18" t="n">
        <f aca="false">G52+F53</f>
        <v>27910475.842</v>
      </c>
      <c r="H53" s="18" t="n">
        <f aca="false">H52+G53</f>
        <v>36624934.6135</v>
      </c>
      <c r="I53" s="18" t="n">
        <f aca="false">I52+H53</f>
        <v>42665713.763</v>
      </c>
      <c r="J53" s="18" t="n">
        <f aca="false">J52+I53</f>
        <v>45735633.331</v>
      </c>
    </row>
    <row r="54" customFormat="false" ht="15" hidden="false" customHeight="false" outlineLevel="0" collapsed="false">
      <c r="A54" s="3" t="s">
        <v>110</v>
      </c>
      <c r="B54" s="13" t="n">
        <f aca="false">B53/GiaDinh!$B$5</f>
        <v>0.0426753238833333</v>
      </c>
      <c r="C54" s="13" t="n">
        <f aca="false">C53/GiaDinh!$B$5</f>
        <v>0.141578641466667</v>
      </c>
      <c r="D54" s="13" t="n">
        <f aca="false">D53/GiaDinh!$B$5</f>
        <v>0.270262622566667</v>
      </c>
      <c r="E54" s="13" t="n">
        <f aca="false">E53/GiaDinh!$B$5</f>
        <v>0.445174597366667</v>
      </c>
      <c r="F54" s="13" t="n">
        <f aca="false">F53/GiaDinh!$B$5</f>
        <v>0.662981232533333</v>
      </c>
      <c r="G54" s="13" t="n">
        <f aca="false">G53/GiaDinh!$B$5</f>
        <v>0.930349194733333</v>
      </c>
      <c r="H54" s="13" t="n">
        <f aca="false">H53/GiaDinh!$B$5</f>
        <v>1.22083115378333</v>
      </c>
      <c r="I54" s="13" t="n">
        <f aca="false">I53/GiaDinh!$B$5</f>
        <v>1.42219045876667</v>
      </c>
      <c r="J54" s="13" t="n">
        <f aca="false">J53/GiaDinh!$B$5</f>
        <v>1.52452111103333</v>
      </c>
    </row>
    <row r="56" customFormat="false" ht="15" hidden="false" customHeight="false" outlineLevel="0" collapsed="false">
      <c r="A56" s="7" t="s">
        <v>113</v>
      </c>
    </row>
    <row r="57" customFormat="false" ht="23.85" hidden="false" customHeight="false" outlineLevel="0" collapsed="false">
      <c r="A57" s="8" t="s">
        <v>114</v>
      </c>
      <c r="B57" s="8" t="s">
        <v>115</v>
      </c>
      <c r="C57" s="8" t="s">
        <v>116</v>
      </c>
      <c r="D57" s="8" t="s">
        <v>117</v>
      </c>
      <c r="E57" s="8" t="s">
        <v>118</v>
      </c>
      <c r="F57" s="8" t="s">
        <v>119</v>
      </c>
    </row>
    <row r="58" customFormat="false" ht="15" hidden="false" customHeight="false" outlineLevel="0" collapsed="false">
      <c r="A58" s="3" t="s">
        <v>120</v>
      </c>
      <c r="B58" s="6" t="n">
        <f aca="false">K10</f>
        <v>152</v>
      </c>
      <c r="C58" s="18" t="n">
        <f aca="false">K11</f>
        <v>56096208</v>
      </c>
      <c r="D58" s="16" t="n">
        <f aca="false">K20</f>
        <v>11857117.948</v>
      </c>
      <c r="E58" s="13" t="n">
        <f aca="false">D58/GiaDinh!$B$5</f>
        <v>0.395237264933333</v>
      </c>
      <c r="F58" s="3" t="str">
        <f aca="false">IF(D58&gt;=GiaDinh!$B$5,"ĐẠT KPI","Thiếu "&amp;TEXT(GiaDinh!$B$5-D58,"#,##0")&amp;" ₫")</f>
        <v>Thiếu 18,142,882 ₫</v>
      </c>
    </row>
    <row r="59" customFormat="false" ht="15" hidden="false" customHeight="false" outlineLevel="0" collapsed="false">
      <c r="A59" s="3" t="s">
        <v>121</v>
      </c>
      <c r="B59" s="6" t="n">
        <f aca="false">K26</f>
        <v>286</v>
      </c>
      <c r="C59" s="18" t="n">
        <f aca="false">K27</f>
        <v>105549444</v>
      </c>
      <c r="D59" s="16" t="n">
        <f aca="false">K36</f>
        <v>25131156.139</v>
      </c>
      <c r="E59" s="13" t="n">
        <f aca="false">D59/GiaDinh!$B$5</f>
        <v>0.837705204633333</v>
      </c>
      <c r="F59" s="3" t="str">
        <f aca="false">IF(D59&gt;=GiaDinh!$B$5,"ĐẠT KPI","Thiếu "&amp;TEXT(GiaDinh!$B$5-D59,"#,##0")&amp;" ₫")</f>
        <v>Thiếu 4,868,844 ₫</v>
      </c>
    </row>
    <row r="60" customFormat="false" ht="15" hidden="false" customHeight="false" outlineLevel="0" collapsed="false">
      <c r="A60" s="3" t="s">
        <v>122</v>
      </c>
      <c r="B60" s="6" t="n">
        <f aca="false">K42</f>
        <v>494</v>
      </c>
      <c r="C60" s="18" t="n">
        <f aca="false">K43</f>
        <v>182312676</v>
      </c>
      <c r="D60" s="16" t="n">
        <f aca="false">K52</f>
        <v>45735633.331</v>
      </c>
      <c r="E60" s="13" t="n">
        <f aca="false">D60/GiaDinh!$B$5</f>
        <v>1.52452111103333</v>
      </c>
      <c r="F60" s="3" t="str">
        <f aca="false">IF(D60&gt;=GiaDinh!$B$5,"ĐẠT KPI","Thiếu "&amp;TEXT(GiaDinh!$B$5-D60,"#,##0")&amp;" ₫")</f>
        <v>ĐẠT KPI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4"/>
    <col collapsed="false" customWidth="true" hidden="false" outlineLevel="0" max="11" min="11" style="0" width="16"/>
  </cols>
  <sheetData>
    <row r="1" customFormat="false" ht="16.1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8" t="s">
        <v>87</v>
      </c>
      <c r="B4" s="8" t="s">
        <v>88</v>
      </c>
      <c r="C4" s="8" t="s">
        <v>89</v>
      </c>
      <c r="D4" s="8" t="s">
        <v>90</v>
      </c>
      <c r="E4" s="8" t="s">
        <v>91</v>
      </c>
      <c r="F4" s="8" t="s">
        <v>92</v>
      </c>
      <c r="G4" s="8" t="s">
        <v>93</v>
      </c>
      <c r="H4" s="8" t="s">
        <v>94</v>
      </c>
      <c r="I4" s="8" t="s">
        <v>95</v>
      </c>
      <c r="J4" s="8" t="s">
        <v>96</v>
      </c>
      <c r="K4" s="8" t="s">
        <v>97</v>
      </c>
    </row>
    <row r="5" customFormat="false" ht="15" hidden="false" customHeight="false" outlineLevel="0" collapsed="false">
      <c r="A5" s="3" t="s">
        <v>125</v>
      </c>
      <c r="B5" s="19" t="n">
        <f aca="false">GiaDinh!$B$4</f>
        <v>10000000</v>
      </c>
      <c r="C5" s="18" t="n">
        <f aca="false">B12</f>
        <v>6760592.476375</v>
      </c>
      <c r="D5" s="18" t="n">
        <f aca="false">C12</f>
        <v>5982554.85825</v>
      </c>
      <c r="E5" s="18" t="n">
        <f aca="false">D12</f>
        <v>6165887.145625</v>
      </c>
      <c r="F5" s="18" t="n">
        <f aca="false">E12</f>
        <v>6071181.814875</v>
      </c>
      <c r="G5" s="18" t="n">
        <f aca="false">F12</f>
        <v>8238623.81875</v>
      </c>
      <c r="H5" s="18" t="n">
        <f aca="false">G12</f>
        <v>11167435.728125</v>
      </c>
      <c r="I5" s="18" t="n">
        <f aca="false">H12</f>
        <v>14757617.543</v>
      </c>
      <c r="J5" s="18" t="n">
        <f aca="false">I12</f>
        <v>21927391.83425</v>
      </c>
    </row>
    <row r="6" customFormat="false" ht="15" hidden="false" customHeight="false" outlineLevel="0" collapsed="false">
      <c r="A6" s="3" t="s">
        <v>126</v>
      </c>
      <c r="B6" s="19" t="n">
        <f aca="false">GiaDinh!$B$24*(KichBan!B27+KichBan!B28+KichBan!B29+KichBan!B30-KichBan!B26*GiaDinh!$B$18)</f>
        <v>533592.476375</v>
      </c>
      <c r="C6" s="19" t="n">
        <f aca="false">GiaDinh!$B$24*(KichBan!C27+KichBan!C28+KichBan!C29+KichBan!C30-KichBan!C26*GiaDinh!$B$18)+(1-GiaDinh!$B$24)*(KichBan!B27+KichBan!B28+KichBan!B29+KichBan!B30-KichBan!B26*GiaDinh!$B$18)</f>
        <v>2667962.381875</v>
      </c>
      <c r="D6" s="19" t="n">
        <f aca="false">GiaDinh!$B$24*(KichBan!D27+KichBan!D28+KichBan!D29+KichBan!D30-KichBan!D26*GiaDinh!$B$18)+(1-GiaDinh!$B$24)*(KichBan!C27+KichBan!C28+KichBan!C29+KichBan!C30-KichBan!C26*GiaDinh!$B$18)</f>
        <v>4802332.287375</v>
      </c>
      <c r="E6" s="19" t="n">
        <f aca="false">GiaDinh!$B$24*(KichBan!E27+KichBan!E28+KichBan!E29+KichBan!E30-KichBan!E26*GiaDinh!$B$18)+(1-GiaDinh!$B$24)*(KichBan!D27+KichBan!D28+KichBan!D29+KichBan!D30-KichBan!D26*GiaDinh!$B$18)</f>
        <v>7470294.66925</v>
      </c>
      <c r="F6" s="19" t="n">
        <f aca="false">GiaDinh!$B$24*(KichBan!F27+KichBan!F28+KichBan!F29+KichBan!F30-KichBan!F26*GiaDinh!$B$18)+(1-GiaDinh!$B$24)*(KichBan!E27+KichBan!E28+KichBan!E29+KichBan!E30-KichBan!E26*GiaDinh!$B$18)</f>
        <v>11205442.003875</v>
      </c>
      <c r="G6" s="19" t="n">
        <f aca="false">GiaDinh!$B$24*(KichBan!G27+KichBan!G28+KichBan!G29+KichBan!G30-KichBan!G26*GiaDinh!$B$18)+(1-GiaDinh!$B$24)*(KichBan!F27+KichBan!F28+KichBan!F29+KichBan!F30-KichBan!F26*GiaDinh!$B$18)</f>
        <v>13339811.909375</v>
      </c>
      <c r="H6" s="19" t="n">
        <f aca="false">GiaDinh!$B$24*(KichBan!H27+KichBan!H28+KichBan!H29+KichBan!H30-KichBan!H26*GiaDinh!$B$18)+(1-GiaDinh!$B$24)*(KichBan!G27+KichBan!G28+KichBan!G29+KichBan!G30-KichBan!G26*GiaDinh!$B$18)</f>
        <v>15474181.814875</v>
      </c>
      <c r="I6" s="19" t="n">
        <f aca="false">GiaDinh!$B$24*(KichBan!I27+KichBan!I28+KichBan!I29+KichBan!I30-KichBan!I26*GiaDinh!$B$18)+(1-GiaDinh!$B$24)*(KichBan!H27+KichBan!H28+KichBan!H29+KichBan!H30-KichBan!H26*GiaDinh!$B$18)</f>
        <v>16007774.29125</v>
      </c>
      <c r="J6" s="19" t="n">
        <f aca="false">GiaDinh!$B$24*(KichBan!J27+KichBan!J28+KichBan!J29+KichBan!J30-KichBan!J26*GiaDinh!$B$18)+(1-GiaDinh!$B$24)*(KichBan!I27+KichBan!I28+KichBan!I29+KichBan!I30-KichBan!I26*GiaDinh!$B$18)</f>
        <v>11129214.50725</v>
      </c>
      <c r="K6" s="16" t="n">
        <f aca="false">SUM(B6:J6)</f>
        <v>82630606.3415</v>
      </c>
    </row>
    <row r="7" customFormat="false" ht="15" hidden="false" customHeight="false" outlineLevel="0" collapsed="false">
      <c r="A7" s="3" t="s">
        <v>127</v>
      </c>
      <c r="B7" s="4" t="n">
        <v>-2700000</v>
      </c>
      <c r="C7" s="4" t="n">
        <v>-2400000</v>
      </c>
      <c r="D7" s="4" t="n">
        <v>-3500000</v>
      </c>
      <c r="E7" s="4" t="n">
        <v>-5900000</v>
      </c>
      <c r="F7" s="4" t="n">
        <v>-7000000</v>
      </c>
      <c r="G7" s="4" t="n">
        <v>-8200000</v>
      </c>
      <c r="H7" s="4" t="n">
        <v>-9400000</v>
      </c>
      <c r="I7" s="4" t="n">
        <v>-7000000</v>
      </c>
      <c r="J7" s="4" t="n">
        <v>-3400000</v>
      </c>
      <c r="K7" s="16" t="n">
        <f aca="false">SUM(B7:J7)</f>
        <v>-49500000</v>
      </c>
    </row>
    <row r="8" customFormat="false" ht="15" hidden="false" customHeight="false" outlineLevel="0" collapsed="false">
      <c r="A8" s="3" t="s">
        <v>106</v>
      </c>
      <c r="B8" s="19" t="n">
        <f aca="false">KichBan!B34</f>
        <v>-210000</v>
      </c>
      <c r="C8" s="19" t="n">
        <f aca="false">KichBan!C34</f>
        <v>-420000</v>
      </c>
      <c r="D8" s="19" t="n">
        <f aca="false">KichBan!D34</f>
        <v>-630000</v>
      </c>
      <c r="E8" s="19" t="n">
        <f aca="false">KichBan!E34</f>
        <v>-1050000</v>
      </c>
      <c r="F8" s="19" t="n">
        <f aca="false">KichBan!F34</f>
        <v>-1260000</v>
      </c>
      <c r="G8" s="19" t="n">
        <f aca="false">KichBan!G34</f>
        <v>-1470000</v>
      </c>
      <c r="H8" s="19" t="n">
        <f aca="false">KichBan!H34</f>
        <v>-1680000</v>
      </c>
      <c r="I8" s="19" t="n">
        <f aca="false">KichBan!I34</f>
        <v>-1260000</v>
      </c>
      <c r="J8" s="19" t="n">
        <f aca="false">KichBan!J34</f>
        <v>-600000</v>
      </c>
      <c r="K8" s="16" t="n">
        <f aca="false">SUM(B8:J8)</f>
        <v>-8580000</v>
      </c>
    </row>
    <row r="9" customFormat="false" ht="15" hidden="false" customHeight="false" outlineLevel="0" collapsed="false">
      <c r="A9" s="3" t="s">
        <v>128</v>
      </c>
      <c r="B9" s="19" t="n">
        <f aca="false">-KichBan!B26*GiaDinh!$B$19+KichBan!B33</f>
        <v>-63000</v>
      </c>
      <c r="C9" s="19" t="n">
        <f aca="false">-KichBan!C26*GiaDinh!$B$19+KichBan!C33</f>
        <v>-126000</v>
      </c>
      <c r="D9" s="19" t="n">
        <f aca="false">-KichBan!D26*GiaDinh!$B$19+KichBan!D33</f>
        <v>-189000</v>
      </c>
      <c r="E9" s="19" t="n">
        <f aca="false">-KichBan!E26*GiaDinh!$B$19+KichBan!E33</f>
        <v>-315000</v>
      </c>
      <c r="F9" s="19" t="n">
        <f aca="false">-KichBan!F26*GiaDinh!$B$19+KichBan!F33</f>
        <v>-378000</v>
      </c>
      <c r="G9" s="19" t="n">
        <f aca="false">-KichBan!G26*GiaDinh!$B$19+KichBan!G33</f>
        <v>-441000</v>
      </c>
      <c r="H9" s="19" t="n">
        <f aca="false">-KichBan!H26*GiaDinh!$B$19+KichBan!H33</f>
        <v>-504000</v>
      </c>
      <c r="I9" s="19" t="n">
        <f aca="false">-KichBan!I26*GiaDinh!$B$19+KichBan!I33</f>
        <v>-378000</v>
      </c>
      <c r="J9" s="19" t="n">
        <f aca="false">-KichBan!J26*GiaDinh!$B$19+KichBan!J33</f>
        <v>-180000</v>
      </c>
      <c r="K9" s="16" t="n">
        <f aca="false">SUM(B9:J9)</f>
        <v>-2574000</v>
      </c>
    </row>
    <row r="10" customFormat="false" ht="15" hidden="false" customHeight="false" outlineLevel="0" collapsed="false">
      <c r="A10" s="3" t="s">
        <v>107</v>
      </c>
      <c r="B10" s="19" t="n">
        <f aca="false">KichBan!B35</f>
        <v>-800000</v>
      </c>
      <c r="C10" s="19" t="n">
        <f aca="false">KichBan!C35</f>
        <v>-500000</v>
      </c>
      <c r="D10" s="19" t="n">
        <f aca="false">KichBan!D35</f>
        <v>-300000</v>
      </c>
      <c r="E10" s="19" t="n">
        <f aca="false">KichBan!E35</f>
        <v>-300000</v>
      </c>
      <c r="F10" s="19" t="n">
        <f aca="false">KichBan!F35</f>
        <v>-400000</v>
      </c>
      <c r="G10" s="19" t="n">
        <f aca="false">KichBan!G35</f>
        <v>-300000</v>
      </c>
      <c r="H10" s="19" t="n">
        <f aca="false">KichBan!H35</f>
        <v>-300000</v>
      </c>
      <c r="I10" s="19" t="n">
        <f aca="false">KichBan!I35</f>
        <v>-200000</v>
      </c>
      <c r="J10" s="19" t="n">
        <f aca="false">KichBan!J35</f>
        <v>-100000</v>
      </c>
      <c r="K10" s="16" t="n">
        <f aca="false">SUM(B10:J10)</f>
        <v>-3200000</v>
      </c>
    </row>
    <row r="11" customFormat="false" ht="15" hidden="false" customHeight="false" outlineLevel="0" collapsed="false">
      <c r="A11" s="3" t="s">
        <v>129</v>
      </c>
      <c r="B11" s="18" t="n">
        <f aca="false">SUM(B6:B10)</f>
        <v>-3239407.523625</v>
      </c>
      <c r="C11" s="18" t="n">
        <f aca="false">SUM(C6:C10)</f>
        <v>-778037.618125</v>
      </c>
      <c r="D11" s="18" t="n">
        <f aca="false">SUM(D6:D10)</f>
        <v>183332.287375</v>
      </c>
      <c r="E11" s="18" t="n">
        <f aca="false">SUM(E6:E10)</f>
        <v>-94705.3307499997</v>
      </c>
      <c r="F11" s="18" t="n">
        <f aca="false">SUM(F6:F10)</f>
        <v>2167442.003875</v>
      </c>
      <c r="G11" s="18" t="n">
        <f aca="false">SUM(G6:G10)</f>
        <v>2928811.909375</v>
      </c>
      <c r="H11" s="18" t="n">
        <f aca="false">SUM(H6:H10)</f>
        <v>3590181.814875</v>
      </c>
      <c r="I11" s="18" t="n">
        <f aca="false">SUM(I6:I10)</f>
        <v>7169774.29125</v>
      </c>
      <c r="J11" s="18" t="n">
        <f aca="false">SUM(J6:J10)</f>
        <v>6849214.50725</v>
      </c>
      <c r="K11" s="16" t="n">
        <f aca="false">SUM(B11:J11)</f>
        <v>18776606.3415</v>
      </c>
    </row>
    <row r="12" customFormat="false" ht="15" hidden="false" customHeight="false" outlineLevel="0" collapsed="false">
      <c r="A12" s="23" t="s">
        <v>130</v>
      </c>
      <c r="B12" s="16" t="n">
        <f aca="false">B5+B11</f>
        <v>6760592.476375</v>
      </c>
      <c r="C12" s="16" t="n">
        <f aca="false">C5+C11</f>
        <v>5982554.85825</v>
      </c>
      <c r="D12" s="16" t="n">
        <f aca="false">D5+D11</f>
        <v>6165887.145625</v>
      </c>
      <c r="E12" s="16" t="n">
        <f aca="false">E5+E11</f>
        <v>6071181.814875</v>
      </c>
      <c r="F12" s="16" t="n">
        <f aca="false">F5+F11</f>
        <v>8238623.81875</v>
      </c>
      <c r="G12" s="16" t="n">
        <f aca="false">G5+G11</f>
        <v>11167435.728125</v>
      </c>
      <c r="H12" s="16" t="n">
        <f aca="false">H5+H11</f>
        <v>14757617.543</v>
      </c>
      <c r="I12" s="16" t="n">
        <f aca="false">I5+I11</f>
        <v>21927391.83425</v>
      </c>
      <c r="J12" s="16" t="n">
        <f aca="false">J5+J11</f>
        <v>28776606.3415</v>
      </c>
    </row>
    <row r="14" customFormat="false" ht="15" hidden="false" customHeight="false" outlineLevel="0" collapsed="false">
      <c r="A14" s="23" t="s">
        <v>131</v>
      </c>
    </row>
    <row r="15" customFormat="false" ht="15" hidden="false" customHeight="false" outlineLevel="0" collapsed="false">
      <c r="A15" s="3" t="s">
        <v>132</v>
      </c>
      <c r="B15" s="20" t="n">
        <f aca="false">-B7/GiaDinh!$H$32</f>
        <v>16.1821995804615</v>
      </c>
      <c r="C15" s="20" t="n">
        <f aca="false">-C7/GiaDinh!$H$32</f>
        <v>14.3841774048547</v>
      </c>
      <c r="D15" s="20" t="n">
        <f aca="false">-D7/GiaDinh!$H$32</f>
        <v>20.9769253820797</v>
      </c>
      <c r="E15" s="20" t="n">
        <f aca="false">-E7/GiaDinh!$H$32</f>
        <v>35.3611027869344</v>
      </c>
      <c r="F15" s="20" t="n">
        <f aca="false">-F7/GiaDinh!$H$32</f>
        <v>41.9538507641594</v>
      </c>
      <c r="G15" s="20" t="n">
        <f aca="false">-G7/GiaDinh!$H$32</f>
        <v>49.1459394665868</v>
      </c>
      <c r="H15" s="20" t="n">
        <f aca="false">-H7/GiaDinh!$H$32</f>
        <v>56.3380281690141</v>
      </c>
      <c r="I15" s="20" t="n">
        <f aca="false">-I7/GiaDinh!$H$32</f>
        <v>41.9538507641594</v>
      </c>
      <c r="J15" s="20" t="n">
        <f aca="false">-J7/GiaDinh!$H$32</f>
        <v>20.3775846568774</v>
      </c>
      <c r="K15" s="24" t="n">
        <f aca="false">SUM(B15:J15)</f>
        <v>296.673658975127</v>
      </c>
    </row>
    <row r="16" customFormat="false" ht="15" hidden="false" customHeight="false" outlineLevel="0" collapsed="false">
      <c r="A16" s="3" t="s">
        <v>133</v>
      </c>
      <c r="B16" s="25" t="n">
        <f aca="false">KichBan!B26</f>
        <v>7</v>
      </c>
      <c r="C16" s="25" t="n">
        <f aca="false">KichBan!C26</f>
        <v>14</v>
      </c>
      <c r="D16" s="25" t="n">
        <f aca="false">KichBan!D26</f>
        <v>21</v>
      </c>
      <c r="E16" s="25" t="n">
        <f aca="false">KichBan!E26</f>
        <v>35</v>
      </c>
      <c r="F16" s="25" t="n">
        <f aca="false">KichBan!F26</f>
        <v>42</v>
      </c>
      <c r="G16" s="25" t="n">
        <f aca="false">KichBan!G26</f>
        <v>49</v>
      </c>
      <c r="H16" s="25" t="n">
        <f aca="false">KichBan!H26</f>
        <v>56</v>
      </c>
      <c r="I16" s="25" t="n">
        <f aca="false">KichBan!I26</f>
        <v>42</v>
      </c>
      <c r="J16" s="25" t="n">
        <f aca="false">KichBan!J26</f>
        <v>20</v>
      </c>
      <c r="K16" s="24" t="n">
        <f aca="false">SUM(B16:J16)</f>
        <v>286</v>
      </c>
    </row>
    <row r="17" customFormat="false" ht="15" hidden="false" customHeight="false" outlineLevel="0" collapsed="false">
      <c r="A17" s="3" t="s">
        <v>134</v>
      </c>
      <c r="B17" s="20" t="n">
        <f aca="false">B15-B16</f>
        <v>9.18219958046149</v>
      </c>
      <c r="C17" s="20" t="n">
        <f aca="false">B17+C15-C16</f>
        <v>9.56637698531615</v>
      </c>
      <c r="D17" s="20" t="n">
        <f aca="false">C17+D15-D16</f>
        <v>9.54330236739587</v>
      </c>
      <c r="E17" s="20" t="n">
        <f aca="false">D17+E15-E16</f>
        <v>9.90440515433024</v>
      </c>
      <c r="F17" s="20" t="n">
        <f aca="false">E17+F15-F16</f>
        <v>9.85825591848967</v>
      </c>
      <c r="G17" s="20" t="n">
        <f aca="false">F17+G15-G16</f>
        <v>10.0041953850764</v>
      </c>
      <c r="H17" s="20" t="n">
        <f aca="false">G17+H15-H16</f>
        <v>10.3422235540905</v>
      </c>
      <c r="I17" s="20" t="n">
        <f aca="false">H17+I15-I16</f>
        <v>10.2960743182499</v>
      </c>
      <c r="J17" s="20" t="n">
        <f aca="false">I17+J15-J16</f>
        <v>10.6736589751274</v>
      </c>
    </row>
    <row r="18" customFormat="false" ht="15" hidden="false" customHeight="false" outlineLevel="0" collapsed="false">
      <c r="A18" s="3" t="s">
        <v>135</v>
      </c>
      <c r="B18" s="18" t="n">
        <f aca="false">B17*GiaDinh!$H$32</f>
        <v>1532050</v>
      </c>
      <c r="C18" s="18" t="n">
        <f aca="false">C17*GiaDinh!$H$32</f>
        <v>1596150</v>
      </c>
      <c r="D18" s="18" t="n">
        <f aca="false">D17*GiaDinh!$H$32</f>
        <v>1592300</v>
      </c>
      <c r="E18" s="18" t="n">
        <f aca="false">E17*GiaDinh!$H$32</f>
        <v>1652550</v>
      </c>
      <c r="F18" s="18" t="n">
        <f aca="false">F17*GiaDinh!$H$32</f>
        <v>1644850</v>
      </c>
      <c r="G18" s="18" t="n">
        <f aca="false">G17*GiaDinh!$H$32</f>
        <v>1669200</v>
      </c>
      <c r="H18" s="18" t="n">
        <f aca="false">H17*GiaDinh!$H$32</f>
        <v>1725600</v>
      </c>
      <c r="I18" s="18" t="n">
        <f aca="false">I17*GiaDinh!$H$32</f>
        <v>1717900</v>
      </c>
      <c r="J18" s="18" t="n">
        <f aca="false">J17*GiaDinh!$H$32</f>
        <v>1780900</v>
      </c>
    </row>
    <row r="20" customFormat="false" ht="15" hidden="false" customHeight="false" outlineLevel="0" collapsed="false">
      <c r="A20" s="3" t="s">
        <v>136</v>
      </c>
      <c r="B20" s="16" t="n">
        <f aca="false">MIN(B12:J12)</f>
        <v>5982554.85825</v>
      </c>
      <c r="C20" s="3" t="str">
        <f aca="false">IF(B20&gt;=0,"AN TOÀN: không âm vốn","CẢNH BÁO: âm tiền — giảm mua hàng/ads kỳ đó hoặc tăng cọc")</f>
        <v>AN TOÀN: không âm vốn</v>
      </c>
    </row>
    <row r="21" customFormat="false" ht="15" hidden="false" customHeight="false" outlineLevel="0" collapsed="false">
      <c r="A21" s="3" t="s">
        <v>137</v>
      </c>
      <c r="B21" s="18" t="n">
        <f aca="false">J12+J18</f>
        <v>30557506.3415</v>
      </c>
    </row>
    <row r="22" customFormat="false" ht="15" hidden="false" customHeight="false" outlineLevel="0" collapsed="false">
      <c r="A22" s="3" t="s">
        <v>138</v>
      </c>
      <c r="B22" s="19" t="n">
        <f aca="false">(1-GiaDinh!$B$24)*(KichBan!J27+KichBan!J28+KichBan!J29+KichBan!J30-KichBan!J26*GiaDinh!$B$18)</f>
        <v>4573649.7975</v>
      </c>
    </row>
    <row r="23" customFormat="false" ht="15" hidden="false" customHeight="false" outlineLevel="0" collapsed="false">
      <c r="A23" s="3" t="s">
        <v>139</v>
      </c>
      <c r="B23" s="18" t="n">
        <f aca="false">B21+B22-GiaDinh!$B$4</f>
        <v>25131156.139</v>
      </c>
      <c r="C23" s="19" t="n">
        <f aca="false">KichBan!K36</f>
        <v>25131156.139</v>
      </c>
      <c r="D23" s="3" t="str">
        <f aca="false">IF(ABS(B23-C23)&lt;1,"KHỚP","LỆCH")</f>
        <v>KHỚP</v>
      </c>
    </row>
    <row r="24" customFormat="false" ht="15" hidden="false" customHeight="false" outlineLevel="0" collapsed="false">
      <c r="A24" s="3" t="s">
        <v>140</v>
      </c>
      <c r="B24" s="20" t="n">
        <f aca="false">J17</f>
        <v>10.6736589751274</v>
      </c>
    </row>
    <row r="25" customFormat="false" ht="15" hidden="false" customHeight="false" outlineLevel="0" collapsed="false">
      <c r="A25" s="3" t="s">
        <v>141</v>
      </c>
      <c r="B25" s="18" t="n">
        <f aca="false">-K7</f>
        <v>49500000</v>
      </c>
      <c r="C25" s="19" t="n">
        <f aca="false">-KichBan!K31</f>
        <v>47719100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142</v>
      </c>
    </row>
    <row r="3" customFormat="false" ht="15" hidden="false" customHeight="false" outlineLevel="0" collapsed="false">
      <c r="A3" s="8" t="s">
        <v>64</v>
      </c>
      <c r="B3" s="8" t="s">
        <v>143</v>
      </c>
      <c r="C3" s="8" t="s">
        <v>144</v>
      </c>
    </row>
    <row r="4" customFormat="false" ht="15" hidden="false" customHeight="false" outlineLevel="0" collapsed="false">
      <c r="A4" s="9" t="s">
        <v>145</v>
      </c>
      <c r="B4" s="12" t="n">
        <v>2500000</v>
      </c>
      <c r="C4" s="14" t="s">
        <v>146</v>
      </c>
    </row>
    <row r="5" customFormat="false" ht="15" hidden="false" customHeight="false" outlineLevel="0" collapsed="false">
      <c r="A5" s="9" t="s">
        <v>147</v>
      </c>
      <c r="B5" s="12" t="n">
        <v>500000</v>
      </c>
      <c r="C5" s="14" t="s">
        <v>148</v>
      </c>
    </row>
    <row r="6" customFormat="false" ht="15" hidden="false" customHeight="false" outlineLevel="0" collapsed="false">
      <c r="A6" s="9" t="s">
        <v>149</v>
      </c>
      <c r="B6" s="12" t="n">
        <v>700000</v>
      </c>
      <c r="C6" s="14" t="s">
        <v>150</v>
      </c>
    </row>
    <row r="7" customFormat="false" ht="15" hidden="false" customHeight="false" outlineLevel="0" collapsed="false">
      <c r="A7" s="9" t="s">
        <v>151</v>
      </c>
      <c r="B7" s="12" t="n">
        <v>1000000</v>
      </c>
      <c r="C7" s="14" t="s">
        <v>152</v>
      </c>
    </row>
    <row r="8" customFormat="false" ht="15" hidden="false" customHeight="false" outlineLevel="0" collapsed="false">
      <c r="A8" s="9" t="s">
        <v>153</v>
      </c>
      <c r="B8" s="12" t="n">
        <v>1500000</v>
      </c>
      <c r="C8" s="14" t="s">
        <v>154</v>
      </c>
    </row>
    <row r="9" customFormat="false" ht="15" hidden="false" customHeight="false" outlineLevel="0" collapsed="false">
      <c r="A9" s="9" t="s">
        <v>155</v>
      </c>
      <c r="B9" s="12" t="n">
        <v>3000000</v>
      </c>
      <c r="C9" s="14" t="s">
        <v>156</v>
      </c>
    </row>
    <row r="10" customFormat="false" ht="15" hidden="false" customHeight="false" outlineLevel="0" collapsed="false">
      <c r="A10" s="9" t="s">
        <v>157</v>
      </c>
      <c r="B10" s="12" t="n">
        <v>800000</v>
      </c>
      <c r="C10" s="14" t="s">
        <v>158</v>
      </c>
    </row>
    <row r="11" customFormat="false" ht="15" hidden="false" customHeight="false" outlineLevel="0" collapsed="false">
      <c r="A11" s="7" t="s">
        <v>159</v>
      </c>
      <c r="B11" s="16" t="n">
        <f aca="false">SUM(B4:B10)</f>
        <v>10000000</v>
      </c>
    </row>
    <row r="12" customFormat="false" ht="15" hidden="false" customHeight="false" outlineLevel="0" collapsed="false">
      <c r="A12" s="3" t="s">
        <v>160</v>
      </c>
      <c r="B12" s="19" t="n">
        <f aca="false">GiaDinh!$B$4</f>
        <v>10000000</v>
      </c>
    </row>
    <row r="13" customFormat="false" ht="15" hidden="false" customHeight="false" outlineLevel="0" collapsed="false">
      <c r="A13" s="3" t="s">
        <v>161</v>
      </c>
      <c r="B13" s="18" t="n">
        <f aca="false">B12-B11</f>
        <v>0</v>
      </c>
      <c r="C13" s="3" t="str">
        <f aca="false">IF(B13&gt;=0,"OK","VƯỢT VỐN")</f>
        <v>OK</v>
      </c>
    </row>
    <row r="15" customFormat="false" ht="15" hidden="false" customHeight="false" outlineLevel="0" collapsed="false">
      <c r="A15" s="2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163</v>
      </c>
    </row>
    <row r="3" customFormat="false" ht="15" hidden="false" customHeight="false" outlineLevel="0" collapsed="false">
      <c r="A3" s="3" t="s">
        <v>164</v>
      </c>
      <c r="B3" s="19" t="n">
        <f aca="false">DonVi!$F$14</f>
        <v>99059.9865</v>
      </c>
    </row>
    <row r="4" customFormat="false" ht="15" hidden="false" customHeight="false" outlineLevel="0" collapsed="false">
      <c r="A4" s="3" t="s">
        <v>165</v>
      </c>
      <c r="B4" s="19" t="n">
        <f aca="false">KichBan!$K$6</f>
        <v>3200000</v>
      </c>
    </row>
    <row r="5" customFormat="false" ht="15" hidden="false" customHeight="false" outlineLevel="0" collapsed="false">
      <c r="A5" s="3" t="s">
        <v>166</v>
      </c>
      <c r="B5" s="6" t="n">
        <f aca="false">IF(B3&lt;=0,"-",(GiaDinh!$B$5+B4)/B3)</f>
        <v>335.150459565225</v>
      </c>
    </row>
    <row r="6" customFormat="false" ht="15" hidden="false" customHeight="false" outlineLevel="0" collapsed="false">
      <c r="A6" s="3" t="s">
        <v>167</v>
      </c>
      <c r="B6" s="24" t="n">
        <f aca="false">IF(B3&lt;=0,"-",B5/GiaDinh!$B$8)</f>
        <v>5.58584099275375</v>
      </c>
    </row>
    <row r="7" customFormat="false" ht="15" hidden="false" customHeight="false" outlineLevel="0" collapsed="false">
      <c r="A7" s="3" t="s">
        <v>168</v>
      </c>
      <c r="B7" s="24" t="n">
        <f aca="false">IF(B3&lt;=0,"-",B5/(GiaDinh!$B$8-4))</f>
        <v>5.98482963509331</v>
      </c>
    </row>
    <row r="8" customFormat="false" ht="15" hidden="false" customHeight="false" outlineLevel="0" collapsed="false">
      <c r="A8" s="3" t="s">
        <v>169</v>
      </c>
      <c r="B8" s="18" t="n">
        <f aca="false">IF(B3&lt;=0,"-",B5*GiaDinh!$D$32)</f>
        <v>123688617.704385</v>
      </c>
    </row>
    <row r="10" customFormat="false" ht="15" hidden="false" customHeight="false" outlineLevel="0" collapsed="false">
      <c r="A10" s="7" t="s">
        <v>170</v>
      </c>
    </row>
    <row r="11" customFormat="false" ht="15" hidden="false" customHeight="false" outlineLevel="0" collapsed="false">
      <c r="A11" s="7" t="s">
        <v>171</v>
      </c>
      <c r="B11" s="26" t="n">
        <v>2</v>
      </c>
      <c r="C11" s="26" t="n">
        <v>3</v>
      </c>
      <c r="D11" s="26" t="n">
        <v>4</v>
      </c>
      <c r="E11" s="26" t="n">
        <v>5</v>
      </c>
      <c r="F11" s="26" t="n">
        <v>6</v>
      </c>
      <c r="G11" s="26" t="n">
        <v>7</v>
      </c>
      <c r="H11" s="26" t="n">
        <v>8</v>
      </c>
      <c r="I11" s="26" t="n">
        <v>10</v>
      </c>
    </row>
    <row r="12" customFormat="false" ht="15" hidden="false" customHeight="false" outlineLevel="0" collapsed="false">
      <c r="A12" s="12" t="n">
        <v>60000</v>
      </c>
      <c r="B12" s="18" t="n">
        <f aca="false">$A12*B$11*GiaDinh!$B$8-$B$4</f>
        <v>4000000</v>
      </c>
      <c r="C12" s="18" t="n">
        <f aca="false">$A12*C$11*GiaDinh!$B$8-$B$4</f>
        <v>7600000</v>
      </c>
      <c r="D12" s="18" t="n">
        <f aca="false">$A12*D$11*GiaDinh!$B$8-$B$4</f>
        <v>11200000</v>
      </c>
      <c r="E12" s="18" t="n">
        <f aca="false">$A12*E$11*GiaDinh!$B$8-$B$4</f>
        <v>14800000</v>
      </c>
      <c r="F12" s="18" t="n">
        <f aca="false">$A12*F$11*GiaDinh!$B$8-$B$4</f>
        <v>18400000</v>
      </c>
      <c r="G12" s="18" t="n">
        <f aca="false">$A12*G$11*GiaDinh!$B$8-$B$4</f>
        <v>22000000</v>
      </c>
      <c r="H12" s="18" t="n">
        <f aca="false">$A12*H$11*GiaDinh!$B$8-$B$4</f>
        <v>25600000</v>
      </c>
      <c r="I12" s="18" t="n">
        <f aca="false">$A12*I$11*GiaDinh!$B$8-$B$4</f>
        <v>32800000</v>
      </c>
    </row>
    <row r="13" customFormat="false" ht="15" hidden="false" customHeight="false" outlineLevel="0" collapsed="false">
      <c r="A13" s="12" t="n">
        <v>80000</v>
      </c>
      <c r="B13" s="18" t="n">
        <f aca="false">$A13*B$11*GiaDinh!$B$8-$B$4</f>
        <v>6400000</v>
      </c>
      <c r="C13" s="18" t="n">
        <f aca="false">$A13*C$11*GiaDinh!$B$8-$B$4</f>
        <v>11200000</v>
      </c>
      <c r="D13" s="18" t="n">
        <f aca="false">$A13*D$11*GiaDinh!$B$8-$B$4</f>
        <v>16000000</v>
      </c>
      <c r="E13" s="18" t="n">
        <f aca="false">$A13*E$11*GiaDinh!$B$8-$B$4</f>
        <v>20800000</v>
      </c>
      <c r="F13" s="18" t="n">
        <f aca="false">$A13*F$11*GiaDinh!$B$8-$B$4</f>
        <v>25600000</v>
      </c>
      <c r="G13" s="18" t="n">
        <f aca="false">$A13*G$11*GiaDinh!$B$8-$B$4</f>
        <v>30400000</v>
      </c>
      <c r="H13" s="18" t="n">
        <f aca="false">$A13*H$11*GiaDinh!$B$8-$B$4</f>
        <v>35200000</v>
      </c>
      <c r="I13" s="18" t="n">
        <f aca="false">$A13*I$11*GiaDinh!$B$8-$B$4</f>
        <v>44800000</v>
      </c>
    </row>
    <row r="14" customFormat="false" ht="15" hidden="false" customHeight="false" outlineLevel="0" collapsed="false">
      <c r="A14" s="12" t="n">
        <v>100000</v>
      </c>
      <c r="B14" s="18" t="n">
        <f aca="false">$A14*B$11*GiaDinh!$B$8-$B$4</f>
        <v>8800000</v>
      </c>
      <c r="C14" s="18" t="n">
        <f aca="false">$A14*C$11*GiaDinh!$B$8-$B$4</f>
        <v>14800000</v>
      </c>
      <c r="D14" s="18" t="n">
        <f aca="false">$A14*D$11*GiaDinh!$B$8-$B$4</f>
        <v>20800000</v>
      </c>
      <c r="E14" s="18" t="n">
        <f aca="false">$A14*E$11*GiaDinh!$B$8-$B$4</f>
        <v>26800000</v>
      </c>
      <c r="F14" s="18" t="n">
        <f aca="false">$A14*F$11*GiaDinh!$B$8-$B$4</f>
        <v>32800000</v>
      </c>
      <c r="G14" s="18" t="n">
        <f aca="false">$A14*G$11*GiaDinh!$B$8-$B$4</f>
        <v>38800000</v>
      </c>
      <c r="H14" s="18" t="n">
        <f aca="false">$A14*H$11*GiaDinh!$B$8-$B$4</f>
        <v>44800000</v>
      </c>
      <c r="I14" s="18" t="n">
        <f aca="false">$A14*I$11*GiaDinh!$B$8-$B$4</f>
        <v>56800000</v>
      </c>
    </row>
    <row r="15" customFormat="false" ht="15" hidden="false" customHeight="false" outlineLevel="0" collapsed="false">
      <c r="A15" s="12" t="n">
        <v>120000</v>
      </c>
      <c r="B15" s="18" t="n">
        <f aca="false">$A15*B$11*GiaDinh!$B$8-$B$4</f>
        <v>11200000</v>
      </c>
      <c r="C15" s="18" t="n">
        <f aca="false">$A15*C$11*GiaDinh!$B$8-$B$4</f>
        <v>18400000</v>
      </c>
      <c r="D15" s="18" t="n">
        <f aca="false">$A15*D$11*GiaDinh!$B$8-$B$4</f>
        <v>25600000</v>
      </c>
      <c r="E15" s="18" t="n">
        <f aca="false">$A15*E$11*GiaDinh!$B$8-$B$4</f>
        <v>32800000</v>
      </c>
      <c r="F15" s="18" t="n">
        <f aca="false">$A15*F$11*GiaDinh!$B$8-$B$4</f>
        <v>40000000</v>
      </c>
      <c r="G15" s="18" t="n">
        <f aca="false">$A15*G$11*GiaDinh!$B$8-$B$4</f>
        <v>47200000</v>
      </c>
      <c r="H15" s="18" t="n">
        <f aca="false">$A15*H$11*GiaDinh!$B$8-$B$4</f>
        <v>54400000</v>
      </c>
      <c r="I15" s="18" t="n">
        <f aca="false">$A15*I$11*GiaDinh!$B$8-$B$4</f>
        <v>68800000</v>
      </c>
    </row>
    <row r="16" customFormat="false" ht="15" hidden="false" customHeight="false" outlineLevel="0" collapsed="false">
      <c r="A16" s="12" t="n">
        <v>140000</v>
      </c>
      <c r="B16" s="18" t="n">
        <f aca="false">$A16*B$11*GiaDinh!$B$8-$B$4</f>
        <v>13600000</v>
      </c>
      <c r="C16" s="18" t="n">
        <f aca="false">$A16*C$11*GiaDinh!$B$8-$B$4</f>
        <v>22000000</v>
      </c>
      <c r="D16" s="18" t="n">
        <f aca="false">$A16*D$11*GiaDinh!$B$8-$B$4</f>
        <v>30400000</v>
      </c>
      <c r="E16" s="18" t="n">
        <f aca="false">$A16*E$11*GiaDinh!$B$8-$B$4</f>
        <v>38800000</v>
      </c>
      <c r="F16" s="18" t="n">
        <f aca="false">$A16*F$11*GiaDinh!$B$8-$B$4</f>
        <v>47200000</v>
      </c>
      <c r="G16" s="18" t="n">
        <f aca="false">$A16*G$11*GiaDinh!$B$8-$B$4</f>
        <v>55600000</v>
      </c>
      <c r="H16" s="18" t="n">
        <f aca="false">$A16*H$11*GiaDinh!$B$8-$B$4</f>
        <v>64000000</v>
      </c>
      <c r="I16" s="18" t="n">
        <f aca="false">$A16*I$11*GiaDinh!$B$8-$B$4</f>
        <v>80800000</v>
      </c>
    </row>
    <row r="17" customFormat="false" ht="15" hidden="false" customHeight="false" outlineLevel="0" collapsed="false">
      <c r="A17" s="12" t="n">
        <v>160000</v>
      </c>
      <c r="B17" s="18" t="n">
        <f aca="false">$A17*B$11*GiaDinh!$B$8-$B$4</f>
        <v>16000000</v>
      </c>
      <c r="C17" s="18" t="n">
        <f aca="false">$A17*C$11*GiaDinh!$B$8-$B$4</f>
        <v>25600000</v>
      </c>
      <c r="D17" s="18" t="n">
        <f aca="false">$A17*D$11*GiaDinh!$B$8-$B$4</f>
        <v>35200000</v>
      </c>
      <c r="E17" s="18" t="n">
        <f aca="false">$A17*E$11*GiaDinh!$B$8-$B$4</f>
        <v>44800000</v>
      </c>
      <c r="F17" s="18" t="n">
        <f aca="false">$A17*F$11*GiaDinh!$B$8-$B$4</f>
        <v>54400000</v>
      </c>
      <c r="G17" s="18" t="n">
        <f aca="false">$A17*G$11*GiaDinh!$B$8-$B$4</f>
        <v>64000000</v>
      </c>
      <c r="H17" s="18" t="n">
        <f aca="false">$A17*H$11*GiaDinh!$B$8-$B$4</f>
        <v>73600000</v>
      </c>
      <c r="I17" s="18" t="n">
        <f aca="false">$A17*I$11*GiaDinh!$B$8-$B$4</f>
        <v>92800000</v>
      </c>
    </row>
    <row r="18" customFormat="false" ht="15" hidden="false" customHeight="false" outlineLevel="0" collapsed="false">
      <c r="A18" s="12" t="n">
        <v>180000</v>
      </c>
      <c r="B18" s="18" t="n">
        <f aca="false">$A18*B$11*GiaDinh!$B$8-$B$4</f>
        <v>18400000</v>
      </c>
      <c r="C18" s="18" t="n">
        <f aca="false">$A18*C$11*GiaDinh!$B$8-$B$4</f>
        <v>29200000</v>
      </c>
      <c r="D18" s="18" t="n">
        <f aca="false">$A18*D$11*GiaDinh!$B$8-$B$4</f>
        <v>40000000</v>
      </c>
      <c r="E18" s="18" t="n">
        <f aca="false">$A18*E$11*GiaDinh!$B$8-$B$4</f>
        <v>50800000</v>
      </c>
      <c r="F18" s="18" t="n">
        <f aca="false">$A18*F$11*GiaDinh!$B$8-$B$4</f>
        <v>61600000</v>
      </c>
      <c r="G18" s="18" t="n">
        <f aca="false">$A18*G$11*GiaDinh!$B$8-$B$4</f>
        <v>72400000</v>
      </c>
      <c r="H18" s="18" t="n">
        <f aca="false">$A18*H$11*GiaDinh!$B$8-$B$4</f>
        <v>83200000</v>
      </c>
      <c r="I18" s="18" t="n">
        <f aca="false">$A18*I$11*GiaDinh!$B$8-$B$4</f>
        <v>104800000</v>
      </c>
    </row>
    <row r="19" customFormat="false" ht="15" hidden="false" customHeight="false" outlineLevel="0" collapsed="false">
      <c r="A19" s="12" t="n">
        <v>200000</v>
      </c>
      <c r="B19" s="18" t="n">
        <f aca="false">$A19*B$11*GiaDinh!$B$8-$B$4</f>
        <v>20800000</v>
      </c>
      <c r="C19" s="18" t="n">
        <f aca="false">$A19*C$11*GiaDinh!$B$8-$B$4</f>
        <v>32800000</v>
      </c>
      <c r="D19" s="18" t="n">
        <f aca="false">$A19*D$11*GiaDinh!$B$8-$B$4</f>
        <v>44800000</v>
      </c>
      <c r="E19" s="18" t="n">
        <f aca="false">$A19*E$11*GiaDinh!$B$8-$B$4</f>
        <v>56800000</v>
      </c>
      <c r="F19" s="18" t="n">
        <f aca="false">$A19*F$11*GiaDinh!$B$8-$B$4</f>
        <v>68800000</v>
      </c>
      <c r="G19" s="18" t="n">
        <f aca="false">$A19*G$11*GiaDinh!$B$8-$B$4</f>
        <v>80800000</v>
      </c>
      <c r="H19" s="18" t="n">
        <f aca="false">$A19*H$11*GiaDinh!$B$8-$B$4</f>
        <v>92800000</v>
      </c>
      <c r="I19" s="18" t="n">
        <f aca="false">$A19*I$11*GiaDinh!$B$8-$B$4</f>
        <v>116800000</v>
      </c>
    </row>
    <row r="21" customFormat="false" ht="15" hidden="false" customHeight="false" outlineLevel="0" collapsed="false">
      <c r="A21" s="2" t="s">
        <v>172</v>
      </c>
    </row>
    <row r="23" customFormat="false" ht="15" hidden="false" customHeight="false" outlineLevel="0" collapsed="false">
      <c r="A23" s="7" t="s">
        <v>173</v>
      </c>
    </row>
    <row r="24" customFormat="false" ht="15" hidden="false" customHeight="false" outlineLevel="0" collapsed="false">
      <c r="A24" s="2" t="s">
        <v>174</v>
      </c>
    </row>
    <row r="25" customFormat="false" ht="15" hidden="false" customHeight="false" outlineLevel="0" collapsed="false">
      <c r="A25" s="2" t="s">
        <v>175</v>
      </c>
    </row>
    <row r="26" customFormat="false" ht="15" hidden="false" customHeight="false" outlineLevel="0" collapsed="false">
      <c r="A26" s="2" t="s">
        <v>176</v>
      </c>
    </row>
    <row r="27" customFormat="false" ht="15" hidden="false" customHeight="false" outlineLevel="0" collapsed="false">
      <c r="A27" s="2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2026-10-19T16:31:58Z</dcterms:created>
  <dc:creator>openpyxl</dc:creator>
  <dc:description/>
  <dc:language>en-US</dc:language>
  <cp:lastModifiedBy/>
  <dcterms:modified xsi:type="dcterms:W3CDTF">2026-10-19T16:31:58Z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